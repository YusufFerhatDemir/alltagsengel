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Annahmen" sheetId="2" state="visible" r:id="rId4"/>
    <sheet name="Umsatz" sheetId="3" state="visible" r:id="rId5"/>
    <sheet name="Kosten" sheetId="4" state="visible" r:id="rId6"/>
    <sheet name="P&amp;L" sheetId="5" state="visible" r:id="rId7"/>
    <sheet name="Cashflow" sheetId="6" state="visible" r:id="rId8"/>
    <sheet name="Kapital" sheetId="7" state="visible" r:id="rId9"/>
    <sheet name="Sensitivitä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<sst xmlns="http://schemas.openxmlformats.org/spreadsheetml/2006/main" count="212" uniqueCount="190">
  <si>
    <t xml:space="preserve">AlltagsEngel</t>
  </si>
  <si>
    <t xml:space="preserve">Finanzmodell 2026–2028</t>
  </si>
  <si>
    <t xml:space="preserve">3-Jahres-Plan · Pre-Seed · Frankfurt am Main · Vertraulich</t>
  </si>
  <si>
    <t xml:space="preserve">Key Financials</t>
  </si>
  <si>
    <t xml:space="preserve">2026</t>
  </si>
  <si>
    <t xml:space="preserve">2027</t>
  </si>
  <si>
    <t xml:space="preserve">2028</t>
  </si>
  <si>
    <t xml:space="preserve">Summe</t>
  </si>
  <si>
    <t xml:space="preserve">Umsatz</t>
  </si>
  <si>
    <t xml:space="preserve">EBITDA</t>
  </si>
  <si>
    <t xml:space="preserve">Cash-Burn</t>
  </si>
  <si>
    <t xml:space="preserve">Aktive Kunden (Ende)</t>
  </si>
  <si>
    <t xml:space="preserve">Aktive Engel (Ende)</t>
  </si>
  <si>
    <t xml:space="preserve">Buchungen / Jahr</t>
  </si>
  <si>
    <t xml:space="preserve">Finanzierung</t>
  </si>
  <si>
    <t xml:space="preserve">Kapitalbedarf (Pre-Seed)</t>
  </si>
  <si>
    <t xml:space="preserve">Runway (Monate)</t>
  </si>
  <si>
    <t xml:space="preserve">Break-Even-Quartal</t>
  </si>
  <si>
    <t xml:space="preserve">Q2 2028</t>
  </si>
  <si>
    <t xml:space="preserve">LTV je Kunde</t>
  </si>
  <si>
    <t xml:space="preserve">CAC je Kunde</t>
  </si>
  <si>
    <t xml:space="preserve">LTV:CAC-Verhältnis</t>
  </si>
  <si>
    <t xml:space="preserve">Farbkonventionen</t>
  </si>
  <si>
    <t xml:space="preserve">Blau = Annahme (Input)</t>
  </si>
  <si>
    <t xml:space="preserve">Schwarz = Formel</t>
  </si>
  <si>
    <t xml:space="preserve">Grün = Verweis auf Sheet</t>
  </si>
  <si>
    <t xml:space="preserve">Gelber Hintergrund = Schlüssel-Annahme</t>
  </si>
  <si>
    <t xml:space="preserve">Annahmen &amp; Parameter</t>
  </si>
  <si>
    <t xml:space="preserve">Alle blauen Werte = Input-Zellen. Gelb = Schlüssel-Annahmen.</t>
  </si>
  <si>
    <t xml:space="preserve">Quelle / Begründung</t>
  </si>
  <si>
    <t xml:space="preserve">Kunden &amp; Nachfrage</t>
  </si>
  <si>
    <t xml:space="preserve">Neukunden (brutto)</t>
  </si>
  <si>
    <t xml:space="preserve">Frankfurt / +Köln Q2'27 / +Düsseldorf Q4'27</t>
  </si>
  <si>
    <t xml:space="preserve">Churn pro Jahr</t>
  </si>
  <si>
    <t xml:space="preserve">Pflege-Dauer ~28 Monate (konservativ)</t>
  </si>
  <si>
    <t xml:space="preserve">Ø Buchungsstunden / Kunde / Monat</t>
  </si>
  <si>
    <t xml:space="preserve">1,5 Termine/Woche à 1h</t>
  </si>
  <si>
    <t xml:space="preserve">Ø Fahrten / Fahrtkunde / Monat</t>
  </si>
  <si>
    <t xml:space="preserve">Dialyse 3x/Woche Hin+Zurück</t>
  </si>
  <si>
    <t xml:space="preserve">Anteil Kunden mit Fahrten</t>
  </si>
  <si>
    <t xml:space="preserve">Schwerpflegebedürftige</t>
  </si>
  <si>
    <t xml:space="preserve">Anteil Kunden mit Pflegebox</t>
  </si>
  <si>
    <t xml:space="preserve">Pflegegrad 1+, ProCare-Partnerschaft</t>
  </si>
  <si>
    <t xml:space="preserve">Anteil Premium-Abo</t>
  </si>
  <si>
    <t xml:space="preserve">Familien mit persönlichem Care-Manager</t>
  </si>
  <si>
    <t xml:space="preserve">Preise &amp; Margen</t>
  </si>
  <si>
    <t xml:space="preserve">Alltagshilfe Stundensatz (€/h, §45b)</t>
  </si>
  <si>
    <t xml:space="preserve">Kassensatz §45b Hessen/NRW</t>
  </si>
  <si>
    <t xml:space="preserve">Engel-Vergütung (€/h)</t>
  </si>
  <si>
    <t xml:space="preserve">Überdurchschnittlich, Differenzierung</t>
  </si>
  <si>
    <t xml:space="preserve">Marge Alltagshilfe (€/h)</t>
  </si>
  <si>
    <t xml:space="preserve">Kassensatz − Engel-Vergütung</t>
  </si>
  <si>
    <t xml:space="preserve">Fahrt Erstattung (€/Fahrt)</t>
  </si>
  <si>
    <t xml:space="preserve">Ø einfache Fahrt Dialyse innerstädtisch</t>
  </si>
  <si>
    <t xml:space="preserve">Fahrer-Vergütung (€/Fahrt)</t>
  </si>
  <si>
    <t xml:space="preserve">~8 € AE-Marge je Fahrt</t>
  </si>
  <si>
    <t xml:space="preserve">Pflegebox Umsatz (€/Box, §40)</t>
  </si>
  <si>
    <t xml:space="preserve">§40-Pauschale SGB XI (gesetzlich fix)</t>
  </si>
  <si>
    <t xml:space="preserve">Marge pro Box (€)</t>
  </si>
  <si>
    <t xml:space="preserve">ProCare-Partnerschaft, COGS ~30 €</t>
  </si>
  <si>
    <t xml:space="preserve">Premium-Abo (€/Monat)</t>
  </si>
  <si>
    <t xml:space="preserve">29–49 € Range, Mittelwert</t>
  </si>
  <si>
    <t xml:space="preserve">Operative Kosten</t>
  </si>
  <si>
    <t xml:space="preserve">Gehälter / Jahr (€)</t>
  </si>
  <si>
    <t xml:space="preserve">6 FTE → 12 FTE → 20 FTE (inkl. LNK)</t>
  </si>
  <si>
    <t xml:space="preserve">Marketing / Jahr (€)</t>
  </si>
  <si>
    <t xml:space="preserve">Performance, Content, Ärzte-Empfehlungen</t>
  </si>
  <si>
    <t xml:space="preserve">Infrastruktur &amp; Tools (€)</t>
  </si>
  <si>
    <t xml:space="preserve">Supabase, Vercel, Stripe, Sentry, Monitoring</t>
  </si>
  <si>
    <t xml:space="preserve">Recht, Compliance, Versicherung (€)</t>
  </si>
  <si>
    <t xml:space="preserve">§45a/§45b Zulassung, DSGVO-Audits</t>
  </si>
  <si>
    <t xml:space="preserve">Overhead &amp; Sonstiges (€)</t>
  </si>
  <si>
    <t xml:space="preserve">Büro, Reisen, Legal, Buchhaltung</t>
  </si>
  <si>
    <t xml:space="preserve">Unit Economics</t>
  </si>
  <si>
    <t xml:space="preserve">LTV je Kunde (€)</t>
  </si>
  <si>
    <t xml:space="preserve">Ø Lebensdauer 28 Monate × Bruttomarge/Monat</t>
  </si>
  <si>
    <t xml:space="preserve">CAC je Kunde (€)</t>
  </si>
  <si>
    <t xml:space="preserve">Marketing / Neukunden</t>
  </si>
  <si>
    <t xml:space="preserve">LTV:CAC</t>
  </si>
  <si>
    <t xml:space="preserve">Zielkorridor &gt; 3x</t>
  </si>
  <si>
    <t xml:space="preserve">Payback-Periode (Monate)</t>
  </si>
  <si>
    <t xml:space="preserve">CAC / Bruttomarge pro Monat</t>
  </si>
  <si>
    <t xml:space="preserve">Umsatz-Projektion</t>
  </si>
  <si>
    <t xml:space="preserve">Kunden-Kohorten und vier Einnahmeströme</t>
  </si>
  <si>
    <t xml:space="preserve">Kunden (Anfang)</t>
  </si>
  <si>
    <t xml:space="preserve">Kunden (Ende Jahr)</t>
  </si>
  <si>
    <t xml:space="preserve">Ø Kunden im Jahr</t>
  </si>
  <si>
    <t xml:space="preserve">Buchungen/Jahr = Ø Kunden × Stunden/Monat × 12</t>
  </si>
  <si>
    <t xml:space="preserve">Buchungen/Jahr</t>
  </si>
  <si>
    <t xml:space="preserve">Umsatz nach Einnahmestrom</t>
  </si>
  <si>
    <t xml:space="preserve">Stream 1: Alltagshilfe (§45b)</t>
  </si>
  <si>
    <t xml:space="preserve">Stream 2: Krankenfahrten</t>
  </si>
  <si>
    <t xml:space="preserve">Stream 3: Pflegeboxen (§40)</t>
  </si>
  <si>
    <t xml:space="preserve">Stream 4: Premium-Abo</t>
  </si>
  <si>
    <t xml:space="preserve">Gesamt-Umsatz</t>
  </si>
  <si>
    <t xml:space="preserve">Umsatz-Mix</t>
  </si>
  <si>
    <t xml:space="preserve">Alltagshilfe</t>
  </si>
  <si>
    <t xml:space="preserve">Krankenfahrten</t>
  </si>
  <si>
    <t xml:space="preserve">Pflegeboxen</t>
  </si>
  <si>
    <t xml:space="preserve">Premium-Abo</t>
  </si>
  <si>
    <t xml:space="preserve">ARPU (€/Kunde/Monat)</t>
  </si>
  <si>
    <t xml:space="preserve">Kosten-Projektion</t>
  </si>
  <si>
    <t xml:space="preserve">COGS + OPEX nach Kategorie</t>
  </si>
  <si>
    <t xml:space="preserve">Variable Kosten (COGS)</t>
  </si>
  <si>
    <t xml:space="preserve">Engel-Vergütung (Alltagshilfe)</t>
  </si>
  <si>
    <t xml:space="preserve">Fahrer-Vergütung</t>
  </si>
  <si>
    <t xml:space="preserve">Pflegeboxen COGS (ProCare)</t>
  </si>
  <si>
    <t xml:space="preserve">Payment-Processing (1,5 % Umsatz)</t>
  </si>
  <si>
    <t xml:space="preserve">COGS gesamt</t>
  </si>
  <si>
    <t xml:space="preserve">Bruttogewinn</t>
  </si>
  <si>
    <t xml:space="preserve">Bruttomarge</t>
  </si>
  <si>
    <t xml:space="preserve">Fixkosten (OPEX)</t>
  </si>
  <si>
    <t xml:space="preserve">Personal (Gehälter + Lohnnebenkosten)</t>
  </si>
  <si>
    <t xml:space="preserve">Marketing &amp; Kundenakquise</t>
  </si>
  <si>
    <t xml:space="preserve">Infrastruktur &amp; SaaS</t>
  </si>
  <si>
    <t xml:space="preserve">Recht, Compliance, Versicherung</t>
  </si>
  <si>
    <t xml:space="preserve">Overhead &amp; Sonstiges</t>
  </si>
  <si>
    <t xml:space="preserve">OPEX gesamt</t>
  </si>
  <si>
    <t xml:space="preserve">Kosten gesamt (COGS + OPEX)</t>
  </si>
  <si>
    <t xml:space="preserve">Gewinn- &amp; Verlust-Rechnung</t>
  </si>
  <si>
    <t xml:space="preserve">3-Jahres-Projektion</t>
  </si>
  <si>
    <t xml:space="preserve">  Alltagshilfe §45b</t>
  </si>
  <si>
    <t xml:space="preserve">  Krankenfahrten</t>
  </si>
  <si>
    <t xml:space="preserve">  Pflegeboxen §40</t>
  </si>
  <si>
    <t xml:space="preserve">  Premium-Abo</t>
  </si>
  <si>
    <t xml:space="preserve">Umsatz gesamt</t>
  </si>
  <si>
    <t xml:space="preserve">Variable Kosten</t>
  </si>
  <si>
    <t xml:space="preserve">  COGS</t>
  </si>
  <si>
    <t xml:space="preserve">Bruttomarge %</t>
  </si>
  <si>
    <t xml:space="preserve">  Personal</t>
  </si>
  <si>
    <t xml:space="preserve">  Marketing</t>
  </si>
  <si>
    <t xml:space="preserve">  Infrastruktur</t>
  </si>
  <si>
    <t xml:space="preserve">  Recht &amp; Compliance</t>
  </si>
  <si>
    <t xml:space="preserve">  Overhead</t>
  </si>
  <si>
    <t xml:space="preserve">EBITDA-Marge %</t>
  </si>
  <si>
    <t xml:space="preserve">Cashflow-Projektion</t>
  </si>
  <si>
    <t xml:space="preserve">Operative, Investive &amp; Finanzierungs-Cashflows</t>
  </si>
  <si>
    <t xml:space="preserve">Operativer Cashflow</t>
  </si>
  <si>
    <t xml:space="preserve">  EBITDA</t>
  </si>
  <si>
    <t xml:space="preserve">  Working-Capital-Änderung (Kassen-Payment-Delay)</t>
  </si>
  <si>
    <t xml:space="preserve">Investiver Cashflow</t>
  </si>
  <si>
    <t xml:space="preserve">  CapEx (Technik, Equipment)</t>
  </si>
  <si>
    <t xml:space="preserve">Cash-Burn (vor Finanzierung)</t>
  </si>
  <si>
    <t xml:space="preserve">Finanzierungs-Cashflow</t>
  </si>
  <si>
    <t xml:space="preserve">  Eigenkapital (Pre-Seed)</t>
  </si>
  <si>
    <t xml:space="preserve">  Eigenkapital (Seed-Runde)</t>
  </si>
  <si>
    <t xml:space="preserve">Netto-Cashflow</t>
  </si>
  <si>
    <t xml:space="preserve">Kasse (Jahresanfang)</t>
  </si>
  <si>
    <t xml:space="preserve">Kasse (Jahresende)</t>
  </si>
  <si>
    <t xml:space="preserve">Kapitalbedarf &amp; Use-of-Funds</t>
  </si>
  <si>
    <t xml:space="preserve">Pre-Seed Runde Q2 2026 — 18 Monate Runway</t>
  </si>
  <si>
    <t xml:space="preserve">Pre-Seed Runde</t>
  </si>
  <si>
    <t xml:space="preserve">Kapitalbedarf</t>
  </si>
  <si>
    <t xml:space="preserve">Monatlicher Burn-Rate (Ø)</t>
  </si>
  <si>
    <t xml:space="preserve">Use-of-Funds (1,0 Mio €)</t>
  </si>
  <si>
    <t xml:space="preserve">Kategorie</t>
  </si>
  <si>
    <t xml:space="preserve">Betrag</t>
  </si>
  <si>
    <t xml:space="preserve">Anteil</t>
  </si>
  <si>
    <t xml:space="preserve">Zweck</t>
  </si>
  <si>
    <t xml:space="preserve">Personal &amp; Team</t>
  </si>
  <si>
    <t xml:space="preserve">5 Kern-Mitarbeiter (Ops, Sales, Tech) über 18 Monate</t>
  </si>
  <si>
    <t xml:space="preserve">Performance-Marketing, Content, Ärzte-Empfehlungs-Programm</t>
  </si>
  <si>
    <t xml:space="preserve">Tech-Entwicklung &amp; Infrastruktur</t>
  </si>
  <si>
    <t xml:space="preserve">Features, Integrationen, Skalierung, CapEx</t>
  </si>
  <si>
    <t xml:space="preserve">City-Launch Köln (Q2'27)</t>
  </si>
  <si>
    <t xml:space="preserve">Lokales Team, Engel-Rekrutierung, Go-to-Market</t>
  </si>
  <si>
    <t xml:space="preserve">Regulatorisch &amp; Kassen-Zulassung</t>
  </si>
  <si>
    <t xml:space="preserve">§45a-Antrag NRW, DSGVO-Audits, Legal</t>
  </si>
  <si>
    <t xml:space="preserve">Puffer / Unvorhergesehenes</t>
  </si>
  <si>
    <t xml:space="preserve">~3% Sicherheitspuffer</t>
  </si>
  <si>
    <t xml:space="preserve">Sensitivitäts-Analyse</t>
  </si>
  <si>
    <t xml:space="preserve">Drei Szenarien: Pessimistisch / Base Case / Optimistisch</t>
  </si>
  <si>
    <t xml:space="preserve">Szenario</t>
  </si>
  <si>
    <t xml:space="preserve">Pessimistisch</t>
  </si>
  <si>
    <t xml:space="preserve">Base Case</t>
  </si>
  <si>
    <t xml:space="preserve">Optimistisch</t>
  </si>
  <si>
    <t xml:space="preserve">Schlüssel-Treiber</t>
  </si>
  <si>
    <t xml:space="preserve">Neukunden 2026</t>
  </si>
  <si>
    <t xml:space="preserve">Neukunden 2027</t>
  </si>
  <si>
    <t xml:space="preserve">Neukunden 2028</t>
  </si>
  <si>
    <t xml:space="preserve">Churn p.a.</t>
  </si>
  <si>
    <t xml:space="preserve">Stunden/Kunde/Monat</t>
  </si>
  <si>
    <t xml:space="preserve">Anteil Fahrtkunden</t>
  </si>
  <si>
    <t xml:space="preserve">Ergebnis 2028</t>
  </si>
  <si>
    <t xml:space="preserve">Umsatz 2028</t>
  </si>
  <si>
    <t xml:space="preserve">EBITDA 2028</t>
  </si>
  <si>
    <t xml:space="preserve">EBITDA-Marge 2028</t>
  </si>
  <si>
    <t xml:space="preserve">Q4 2028</t>
  </si>
  <si>
    <t xml:space="preserve">Q4 2027</t>
  </si>
  <si>
    <t xml:space="preserve">Kapitalbedarf (Seed-Folgerunde)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</si>
</sst>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&quot; €&quot;_-;_-* \(#,##0&quot;) €&quot;_-;_-* \-??_-;_-@_-"/>
    <numFmt numFmtId="166" formatCode="_-* #,##0_-;_-* \(#,##0\)_-;_-* \-??_-;_-@_-"/>
    <numFmt numFmtId="167" formatCode="0&quot; Monate&quot;"/>
    <numFmt numFmtId="168" formatCode="0.0\x"/>
    <numFmt numFmtId="169" formatCode="0.0%;\(0.0%\);\-"/>
    <numFmt numFmtId="170" formatCode="0.0"/>
    <numFmt numFmtId="171" formatCode="#,##0.00&quot; €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9A24B"/>
      <name val="Calibri"/>
      <family val="0"/>
      <charset val="1"/>
    </font>
    <font>
      <b val="true"/>
      <sz val="18"/>
      <color rgb="FF1A1612"/>
      <name val="Calibri"/>
      <family val="0"/>
      <charset val="1"/>
    </font>
    <font>
      <i val="true"/>
      <sz val="10"/>
      <color rgb="FF8A7F6E"/>
      <name val="Calibri"/>
      <family val="0"/>
      <charset val="1"/>
    </font>
    <font>
      <b val="true"/>
      <sz val="12"/>
      <color rgb="FFC9A24B"/>
      <name val="Calibri"/>
      <family val="0"/>
      <charset val="1"/>
    </font>
    <font>
      <b val="true"/>
      <sz val="11"/>
      <color rgb="FFF5EFE6"/>
      <name val="Calibri"/>
      <family val="0"/>
      <charset val="1"/>
    </font>
    <font>
      <b val="true"/>
      <sz val="10"/>
      <color rgb="FF1A1612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color rgb="FF1A1612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612"/>
        <bgColor rgb="FF000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double">
        <color rgb="FF1A1612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EF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7F6E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24B"/>
      <rgbColor rgb="FF003366"/>
      <rgbColor rgb="FF339966"/>
      <rgbColor rgb="FF003300"/>
      <rgbColor rgb="FF1A161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7" min="3" style="0" width="16"/>
  </cols>
  <sheetData>
    <row r="2" customFormat="false" ht="15" hidden="false" customHeight="false" outlineLevel="0" collapsed="false">
      <c r="B2" s="1" t="s">
        <v>0</v>
      </c>
    </row>
    <row r="3" customFormat="false" ht="27.75" hidden="false" customHeight="tru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8" customFormat="false" ht="15" hidden="false" customHeight="false" outlineLevel="0" collapsed="false">
      <c r="C8" s="5" t="s">
        <v>4</v>
      </c>
      <c r="D8" s="5" t="s">
        <v>5</v>
      </c>
      <c r="E8" s="5" t="s">
        <v>6</v>
      </c>
      <c r="F8" s="5" t="s">
        <v>7</v>
      </c>
    </row>
    <row r="10" customFormat="false" ht="15" hidden="false" customHeight="false" outlineLevel="0" collapsed="false">
      <c r="B10" s="6" t="s">
        <v>8</v>
      </c>
      <c r="C10" s="7" t="n">
        <f aca="false">'P&amp;L'!C12</f>
        <v>833250</v>
      </c>
      <c r="D10" s="7" t="n">
        <f aca="false">'P&amp;L'!D12</f>
        <v>4116825</v>
      </c>
      <c r="E10" s="7" t="n">
        <f aca="false">'P&amp;L'!E12</f>
        <v>11153484</v>
      </c>
      <c r="F10" s="8" t="n">
        <f aca="false">SUM(C10:E10)</f>
        <v>16103559</v>
      </c>
    </row>
    <row r="11" customFormat="false" ht="15" hidden="false" customHeight="false" outlineLevel="0" collapsed="false">
      <c r="B11" s="6" t="s">
        <v>9</v>
      </c>
      <c r="C11" s="7" t="n">
        <f aca="false">'P&amp;L'!C25</f>
        <v>-637248.75</v>
      </c>
      <c r="D11" s="7" t="n">
        <f aca="false">'P&amp;L'!D25</f>
        <v>-708687.375</v>
      </c>
      <c r="E11" s="7" t="n">
        <f aca="false">'P&amp;L'!E25</f>
        <v>40129.7400000002</v>
      </c>
      <c r="F11" s="8" t="n">
        <f aca="false">SUM(C11:E11)</f>
        <v>-1305806.385</v>
      </c>
    </row>
    <row r="12" customFormat="false" ht="15" hidden="false" customHeight="false" outlineLevel="0" collapsed="false">
      <c r="B12" s="6" t="s">
        <v>10</v>
      </c>
      <c r="C12" s="8" t="n">
        <f aca="false">Cashflow!C14</f>
        <v>-723911.25</v>
      </c>
      <c r="D12" s="8" t="n">
        <f aca="false">Cashflow!D14</f>
        <v>-932866.125</v>
      </c>
      <c r="E12" s="8" t="n">
        <f aca="false">Cashflow!E14</f>
        <v>-391703.21</v>
      </c>
      <c r="F12" s="8" t="n">
        <f aca="false">SUM(C12:E12)</f>
        <v>-2048480.585</v>
      </c>
    </row>
    <row r="13" customFormat="false" ht="15" hidden="false" customHeight="false" outlineLevel="0" collapsed="false">
      <c r="B13" s="9" t="s">
        <v>11</v>
      </c>
      <c r="C13" s="10" t="n">
        <f aca="false">Umsatz!C5</f>
        <v>500</v>
      </c>
      <c r="D13" s="10" t="n">
        <f aca="false">Umsatz!D5</f>
        <v>1750</v>
      </c>
      <c r="E13" s="10" t="n">
        <f aca="false">Umsatz!E5</f>
        <v>3740</v>
      </c>
      <c r="F13" s="10"/>
    </row>
    <row r="14" customFormat="false" ht="15" hidden="false" customHeight="false" outlineLevel="0" collapsed="false">
      <c r="B14" s="9" t="s">
        <v>12</v>
      </c>
      <c r="C14" s="10" t="n">
        <f aca="false">Umsatz!C7</f>
        <v>63</v>
      </c>
      <c r="D14" s="10" t="n">
        <f aca="false">Umsatz!D7</f>
        <v>219</v>
      </c>
      <c r="E14" s="10" t="n">
        <f aca="false">Umsatz!E7</f>
        <v>468</v>
      </c>
      <c r="F14" s="10"/>
    </row>
    <row r="15" customFormat="false" ht="15" hidden="false" customHeight="false" outlineLevel="0" collapsed="false">
      <c r="B15" s="9" t="s">
        <v>13</v>
      </c>
      <c r="C15" s="10" t="n">
        <f aca="false">Umsatz!C9</f>
        <v>18000</v>
      </c>
      <c r="D15" s="10" t="n">
        <f aca="false">Umsatz!D9</f>
        <v>87750</v>
      </c>
      <c r="E15" s="10" t="n">
        <f aca="false">Umsatz!E9</f>
        <v>230580</v>
      </c>
      <c r="F15" s="10" t="n">
        <f aca="false">SUM(C15:E15)</f>
        <v>336330</v>
      </c>
    </row>
    <row r="17" customFormat="false" ht="15" hidden="false" customHeight="false" outlineLevel="0" collapsed="false">
      <c r="B17" s="4" t="s">
        <v>14</v>
      </c>
    </row>
    <row r="19" customFormat="false" ht="15" hidden="false" customHeight="false" outlineLevel="0" collapsed="false">
      <c r="B19" s="6" t="s">
        <v>15</v>
      </c>
      <c r="C19" s="8" t="n">
        <f aca="false">Kapital!C7</f>
        <v>1000000</v>
      </c>
    </row>
    <row r="20" customFormat="false" ht="15" hidden="false" customHeight="false" outlineLevel="0" collapsed="false">
      <c r="B20" s="6" t="s">
        <v>16</v>
      </c>
      <c r="C20" s="11" t="n">
        <f aca="false">Kapital!C9</f>
        <v>16.5766176447734</v>
      </c>
    </row>
    <row r="21" customFormat="false" ht="15" hidden="false" customHeight="false" outlineLevel="0" collapsed="false">
      <c r="B21" s="6" t="s">
        <v>17</v>
      </c>
      <c r="C21" s="12" t="s">
        <v>18</v>
      </c>
    </row>
    <row r="22" customFormat="false" ht="15" hidden="false" customHeight="false" outlineLevel="0" collapsed="false">
      <c r="B22" s="6" t="s">
        <v>19</v>
      </c>
      <c r="C22" s="8" t="n">
        <f aca="false">Annahmen!E34</f>
        <v>2296.56</v>
      </c>
    </row>
    <row r="23" customFormat="false" ht="15" hidden="false" customHeight="false" outlineLevel="0" collapsed="false">
      <c r="B23" s="6" t="s">
        <v>20</v>
      </c>
      <c r="C23" s="8" t="n">
        <f aca="false">Annahmen!E35</f>
        <v>250</v>
      </c>
    </row>
    <row r="24" customFormat="false" ht="15" hidden="false" customHeight="false" outlineLevel="0" collapsed="false">
      <c r="B24" s="6" t="s">
        <v>21</v>
      </c>
      <c r="C24" s="13" t="n">
        <f aca="false">C22/C23</f>
        <v>9.18624</v>
      </c>
    </row>
    <row r="27" customFormat="false" ht="15" hidden="false" customHeight="false" outlineLevel="0" collapsed="false">
      <c r="B27" s="4" t="s">
        <v>22</v>
      </c>
    </row>
    <row r="28" customFormat="false" ht="15" hidden="false" customHeight="false" outlineLevel="0" collapsed="false">
      <c r="B28" s="14" t="s">
        <v>23</v>
      </c>
    </row>
    <row r="29" customFormat="false" ht="15" hidden="false" customHeight="false" outlineLevel="0" collapsed="false">
      <c r="B29" s="15" t="s">
        <v>24</v>
      </c>
    </row>
    <row r="30" customFormat="false" ht="15" hidden="false" customHeight="false" outlineLevel="0" collapsed="false">
      <c r="B30" s="16" t="s">
        <v>25</v>
      </c>
    </row>
    <row r="31" customFormat="false" ht="15" hidden="false" customHeight="false" outlineLevel="0" collapsed="false">
      <c r="B31" s="17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5"/>
    <col collapsed="false" customWidth="true" hidden="false" outlineLevel="0" max="5" min="3" style="0" width="15"/>
    <col collapsed="false" customWidth="true" hidden="false" outlineLevel="0" max="6" min="6" style="0" width="45"/>
  </cols>
  <sheetData>
    <row r="2" customFormat="false" ht="22.05" hidden="false" customHeight="false" outlineLevel="0" collapsed="false">
      <c r="B2" s="2" t="s">
        <v>27</v>
      </c>
    </row>
    <row r="3" customFormat="false" ht="15" hidden="false" customHeight="false" outlineLevel="0" collapsed="false">
      <c r="B3" s="3" t="s">
        <v>28</v>
      </c>
    </row>
    <row r="5" customFormat="false" ht="15" hidden="false" customHeight="false" outlineLevel="0" collapsed="false">
      <c r="C5" s="5" t="s">
        <v>4</v>
      </c>
      <c r="D5" s="5" t="s">
        <v>5</v>
      </c>
      <c r="E5" s="5" t="s">
        <v>6</v>
      </c>
      <c r="F5" s="18" t="s">
        <v>29</v>
      </c>
    </row>
    <row r="7" customFormat="false" ht="15" hidden="false" customHeight="false" outlineLevel="0" collapsed="false">
      <c r="B7" s="4" t="s">
        <v>30</v>
      </c>
    </row>
    <row r="8" customFormat="false" ht="15" hidden="false" customHeight="false" outlineLevel="0" collapsed="false">
      <c r="B8" s="6" t="s">
        <v>31</v>
      </c>
      <c r="C8" s="19" t="n">
        <v>500</v>
      </c>
      <c r="D8" s="19" t="n">
        <v>1300</v>
      </c>
      <c r="E8" s="19" t="n">
        <v>2200</v>
      </c>
      <c r="F8" s="0" t="s">
        <v>32</v>
      </c>
    </row>
    <row r="9" customFormat="false" ht="15" hidden="false" customHeight="false" outlineLevel="0" collapsed="false">
      <c r="B9" s="9" t="s">
        <v>33</v>
      </c>
      <c r="C9" s="20" t="n">
        <v>0.08</v>
      </c>
      <c r="D9" s="20" t="n">
        <v>0.1</v>
      </c>
      <c r="E9" s="20" t="n">
        <v>0.12</v>
      </c>
      <c r="F9" s="0" t="s">
        <v>34</v>
      </c>
    </row>
    <row r="10" customFormat="false" ht="15" hidden="false" customHeight="false" outlineLevel="0" collapsed="false">
      <c r="B10" s="9" t="s">
        <v>35</v>
      </c>
      <c r="C10" s="21" t="n">
        <v>6</v>
      </c>
      <c r="D10" s="21" t="n">
        <v>6.5</v>
      </c>
      <c r="E10" s="21" t="n">
        <v>7</v>
      </c>
      <c r="F10" s="0" t="s">
        <v>36</v>
      </c>
    </row>
    <row r="11" customFormat="false" ht="15" hidden="false" customHeight="false" outlineLevel="0" collapsed="false">
      <c r="B11" s="9" t="s">
        <v>37</v>
      </c>
      <c r="C11" s="21" t="n">
        <v>8</v>
      </c>
      <c r="D11" s="21" t="n">
        <v>8</v>
      </c>
      <c r="E11" s="21" t="n">
        <v>8</v>
      </c>
      <c r="F11" s="0" t="s">
        <v>38</v>
      </c>
    </row>
    <row r="12" customFormat="false" ht="15" hidden="false" customHeight="false" outlineLevel="0" collapsed="false">
      <c r="B12" s="9" t="s">
        <v>39</v>
      </c>
      <c r="C12" s="20" t="n">
        <v>0.25</v>
      </c>
      <c r="D12" s="20" t="n">
        <v>0.28</v>
      </c>
      <c r="E12" s="20" t="n">
        <v>0.3</v>
      </c>
      <c r="F12" s="0" t="s">
        <v>40</v>
      </c>
    </row>
    <row r="13" customFormat="false" ht="15" hidden="false" customHeight="false" outlineLevel="0" collapsed="false">
      <c r="B13" s="9" t="s">
        <v>41</v>
      </c>
      <c r="C13" s="20" t="n">
        <v>0.4</v>
      </c>
      <c r="D13" s="20" t="n">
        <v>0.45</v>
      </c>
      <c r="E13" s="20" t="n">
        <v>0.5</v>
      </c>
      <c r="F13" s="0" t="s">
        <v>42</v>
      </c>
    </row>
    <row r="14" customFormat="false" ht="15" hidden="false" customHeight="false" outlineLevel="0" collapsed="false">
      <c r="B14" s="9" t="s">
        <v>43</v>
      </c>
      <c r="C14" s="20" t="n">
        <v>0.05</v>
      </c>
      <c r="D14" s="20" t="n">
        <v>0.08</v>
      </c>
      <c r="E14" s="20" t="n">
        <v>0.1</v>
      </c>
      <c r="F14" s="0" t="s">
        <v>44</v>
      </c>
    </row>
    <row r="16" customFormat="false" ht="15" hidden="false" customHeight="false" outlineLevel="0" collapsed="false">
      <c r="B16" s="4" t="s">
        <v>45</v>
      </c>
    </row>
    <row r="17" customFormat="false" ht="15" hidden="false" customHeight="false" outlineLevel="0" collapsed="false">
      <c r="B17" s="9" t="s">
        <v>46</v>
      </c>
      <c r="C17" s="22" t="n">
        <v>32.5</v>
      </c>
      <c r="D17" s="22" t="n">
        <v>32.5</v>
      </c>
      <c r="E17" s="22" t="n">
        <v>33.5</v>
      </c>
      <c r="F17" s="0" t="s">
        <v>47</v>
      </c>
    </row>
    <row r="18" customFormat="false" ht="15" hidden="false" customHeight="false" outlineLevel="0" collapsed="false">
      <c r="B18" s="9" t="s">
        <v>48</v>
      </c>
      <c r="C18" s="23" t="n">
        <v>25</v>
      </c>
      <c r="D18" s="23" t="n">
        <v>25</v>
      </c>
      <c r="E18" s="23" t="n">
        <v>26</v>
      </c>
      <c r="F18" s="0" t="s">
        <v>49</v>
      </c>
    </row>
    <row r="19" customFormat="false" ht="15" hidden="false" customHeight="false" outlineLevel="0" collapsed="false">
      <c r="B19" s="6" t="s">
        <v>50</v>
      </c>
      <c r="C19" s="24" t="n">
        <f aca="false">C17-C18</f>
        <v>7.5</v>
      </c>
      <c r="D19" s="24" t="n">
        <f aca="false">D17-D18</f>
        <v>7.5</v>
      </c>
      <c r="E19" s="24" t="n">
        <f aca="false">E17-E18</f>
        <v>7.5</v>
      </c>
      <c r="F19" s="0" t="s">
        <v>51</v>
      </c>
    </row>
    <row r="20" customFormat="false" ht="15" hidden="false" customHeight="false" outlineLevel="0" collapsed="false">
      <c r="B20" s="9" t="s">
        <v>52</v>
      </c>
      <c r="C20" s="23" t="n">
        <v>32</v>
      </c>
      <c r="D20" s="23" t="n">
        <v>32</v>
      </c>
      <c r="E20" s="23" t="n">
        <v>33</v>
      </c>
      <c r="F20" s="0" t="s">
        <v>53</v>
      </c>
    </row>
    <row r="21" customFormat="false" ht="15" hidden="false" customHeight="false" outlineLevel="0" collapsed="false">
      <c r="B21" s="9" t="s">
        <v>54</v>
      </c>
      <c r="C21" s="23" t="n">
        <v>24</v>
      </c>
      <c r="D21" s="23" t="n">
        <v>24</v>
      </c>
      <c r="E21" s="23" t="n">
        <v>24.5</v>
      </c>
      <c r="F21" s="0" t="s">
        <v>55</v>
      </c>
    </row>
    <row r="22" customFormat="false" ht="15" hidden="false" customHeight="false" outlineLevel="0" collapsed="false">
      <c r="B22" s="9" t="s">
        <v>56</v>
      </c>
      <c r="C22" s="23" t="n">
        <v>42</v>
      </c>
      <c r="D22" s="23" t="n">
        <v>42</v>
      </c>
      <c r="E22" s="23" t="n">
        <v>42</v>
      </c>
      <c r="F22" s="0" t="s">
        <v>57</v>
      </c>
    </row>
    <row r="23" customFormat="false" ht="15" hidden="false" customHeight="false" outlineLevel="0" collapsed="false">
      <c r="B23" s="9" t="s">
        <v>58</v>
      </c>
      <c r="C23" s="23" t="n">
        <v>12</v>
      </c>
      <c r="D23" s="23" t="n">
        <v>12</v>
      </c>
      <c r="E23" s="23" t="n">
        <v>12</v>
      </c>
      <c r="F23" s="0" t="s">
        <v>59</v>
      </c>
    </row>
    <row r="24" customFormat="false" ht="15" hidden="false" customHeight="false" outlineLevel="0" collapsed="false">
      <c r="B24" s="9" t="s">
        <v>60</v>
      </c>
      <c r="C24" s="23" t="n">
        <v>39</v>
      </c>
      <c r="D24" s="23" t="n">
        <v>39</v>
      </c>
      <c r="E24" s="23" t="n">
        <v>39</v>
      </c>
      <c r="F24" s="0" t="s">
        <v>61</v>
      </c>
    </row>
    <row r="26" customFormat="false" ht="15" hidden="false" customHeight="false" outlineLevel="0" collapsed="false">
      <c r="B26" s="4" t="s">
        <v>62</v>
      </c>
    </row>
    <row r="27" customFormat="false" ht="15" hidden="false" customHeight="false" outlineLevel="0" collapsed="false">
      <c r="B27" s="9" t="s">
        <v>63</v>
      </c>
      <c r="C27" s="25" t="n">
        <v>480000</v>
      </c>
      <c r="D27" s="25" t="n">
        <v>960000</v>
      </c>
      <c r="E27" s="25" t="n">
        <v>1560000</v>
      </c>
      <c r="F27" s="0" t="s">
        <v>64</v>
      </c>
    </row>
    <row r="28" customFormat="false" ht="15" hidden="false" customHeight="false" outlineLevel="0" collapsed="false">
      <c r="B28" s="9" t="s">
        <v>65</v>
      </c>
      <c r="C28" s="25" t="n">
        <v>180000</v>
      </c>
      <c r="D28" s="25" t="n">
        <v>420000</v>
      </c>
      <c r="E28" s="25" t="n">
        <v>550000</v>
      </c>
      <c r="F28" s="0" t="s">
        <v>66</v>
      </c>
    </row>
    <row r="29" customFormat="false" ht="15" hidden="false" customHeight="false" outlineLevel="0" collapsed="false">
      <c r="B29" s="9" t="s">
        <v>67</v>
      </c>
      <c r="C29" s="25" t="n">
        <v>36000</v>
      </c>
      <c r="D29" s="25" t="n">
        <v>72000</v>
      </c>
      <c r="E29" s="25" t="n">
        <v>120000</v>
      </c>
      <c r="F29" s="0" t="s">
        <v>68</v>
      </c>
    </row>
    <row r="30" customFormat="false" ht="15" hidden="false" customHeight="false" outlineLevel="0" collapsed="false">
      <c r="B30" s="9" t="s">
        <v>69</v>
      </c>
      <c r="C30" s="25" t="n">
        <v>72000</v>
      </c>
      <c r="D30" s="25" t="n">
        <v>90000</v>
      </c>
      <c r="E30" s="25" t="n">
        <v>110000</v>
      </c>
      <c r="F30" s="0" t="s">
        <v>70</v>
      </c>
    </row>
    <row r="31" customFormat="false" ht="15" hidden="false" customHeight="false" outlineLevel="0" collapsed="false">
      <c r="B31" s="9" t="s">
        <v>71</v>
      </c>
      <c r="C31" s="25" t="n">
        <v>60000</v>
      </c>
      <c r="D31" s="25" t="n">
        <v>120000</v>
      </c>
      <c r="E31" s="25" t="n">
        <v>180000</v>
      </c>
      <c r="F31" s="0" t="s">
        <v>72</v>
      </c>
    </row>
    <row r="33" customFormat="false" ht="15" hidden="false" customHeight="false" outlineLevel="0" collapsed="false">
      <c r="B33" s="4" t="s">
        <v>73</v>
      </c>
    </row>
    <row r="34" customFormat="false" ht="15" hidden="false" customHeight="false" outlineLevel="0" collapsed="false">
      <c r="B34" s="6" t="s">
        <v>74</v>
      </c>
      <c r="C34" s="26" t="n">
        <f aca="false">((C19*C10 + (C20-C21)*C11*C12 + C23*C13 + C24*0.8*C14) * 28)</f>
        <v>1886.08</v>
      </c>
      <c r="D34" s="26" t="n">
        <f aca="false">((D19*D10 + (D20-D21)*D11*D12 + D23*D13 + D24*0.8*D14) * 28)</f>
        <v>2087.848</v>
      </c>
      <c r="E34" s="26" t="n">
        <f aca="false">((E19*E10 + (E20-E21)*E11*E12 + E23*E13 + E24*0.8*E14) * 28)</f>
        <v>2296.56</v>
      </c>
      <c r="F34" s="0" t="s">
        <v>75</v>
      </c>
    </row>
    <row r="35" customFormat="false" ht="15" hidden="false" customHeight="false" outlineLevel="0" collapsed="false">
      <c r="B35" s="6" t="s">
        <v>76</v>
      </c>
      <c r="C35" s="26" t="n">
        <f aca="false">C28/C8</f>
        <v>360</v>
      </c>
      <c r="D35" s="26" t="n">
        <f aca="false">D28/D8</f>
        <v>323.076923076923</v>
      </c>
      <c r="E35" s="26" t="n">
        <f aca="false">E28/E8</f>
        <v>250</v>
      </c>
      <c r="F35" s="0" t="s">
        <v>77</v>
      </c>
    </row>
    <row r="36" customFormat="false" ht="15" hidden="false" customHeight="false" outlineLevel="0" collapsed="false">
      <c r="B36" s="6" t="s">
        <v>78</v>
      </c>
      <c r="C36" s="27" t="n">
        <f aca="false">C34/C35</f>
        <v>5.23911111111111</v>
      </c>
      <c r="D36" s="27" t="n">
        <f aca="false">D34/D35</f>
        <v>6.46238666666667</v>
      </c>
      <c r="E36" s="27" t="n">
        <f aca="false">E34/E35</f>
        <v>9.18624</v>
      </c>
      <c r="F36" s="0" t="s">
        <v>79</v>
      </c>
    </row>
    <row r="37" customFormat="false" ht="15" hidden="false" customHeight="false" outlineLevel="0" collapsed="false">
      <c r="B37" s="9" t="s">
        <v>80</v>
      </c>
      <c r="C37" s="28" t="n">
        <f aca="false">C35/((C19*C10 + (C20-C21)*C11*C12 + C23*C13 + C24*0.8*C14))</f>
        <v>5.34441805225653</v>
      </c>
      <c r="D37" s="28" t="n">
        <f aca="false">D35/((D19*D10 + (D20-D21)*D11*D12 + D23*D13 + D24*0.8*D14))</f>
        <v>4.33276457201571</v>
      </c>
      <c r="E37" s="28" t="n">
        <f aca="false">E35/((E19*E10 + (E20-E21)*E11*E12 + E23*E13 + E24*0.8*E14))</f>
        <v>3.0480370641307</v>
      </c>
      <c r="F37" s="0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5" min="3" style="0" width="16"/>
  </cols>
  <sheetData>
    <row r="2" customFormat="false" ht="22.05" hidden="false" customHeight="false" outlineLevel="0" collapsed="false">
      <c r="B2" s="2" t="s">
        <v>82</v>
      </c>
    </row>
    <row r="3" customFormat="false" ht="15" hidden="false" customHeight="false" outlineLevel="0" collapsed="false">
      <c r="B3" s="3" t="s">
        <v>83</v>
      </c>
    </row>
    <row r="4" customFormat="false" ht="15" hidden="false" customHeight="false" outlineLevel="0" collapsed="false">
      <c r="B4" s="9" t="s">
        <v>84</v>
      </c>
      <c r="C4" s="29" t="n">
        <v>0</v>
      </c>
      <c r="D4" s="29" t="n">
        <f aca="false">C5</f>
        <v>500</v>
      </c>
      <c r="E4" s="29" t="n">
        <f aca="false">D5</f>
        <v>1750</v>
      </c>
    </row>
    <row r="5" customFormat="false" ht="15" hidden="false" customHeight="false" outlineLevel="0" collapsed="false">
      <c r="B5" s="6" t="s">
        <v>85</v>
      </c>
      <c r="C5" s="30" t="n">
        <f aca="false">C4+Annahmen!C8-C4*Annahmen!C9</f>
        <v>500</v>
      </c>
      <c r="D5" s="30" t="n">
        <f aca="false">D4+Annahmen!D8-D4*Annahmen!D9</f>
        <v>1750</v>
      </c>
      <c r="E5" s="30" t="n">
        <f aca="false">E4+Annahmen!E8-E4*Annahmen!E9</f>
        <v>3740</v>
      </c>
    </row>
    <row r="6" customFormat="false" ht="15" hidden="false" customHeight="false" outlineLevel="0" collapsed="false">
      <c r="B6" s="9" t="s">
        <v>86</v>
      </c>
      <c r="C6" s="29" t="n">
        <f aca="false">(C4+C5)/2</f>
        <v>250</v>
      </c>
      <c r="D6" s="29" t="n">
        <f aca="false">(D4+D5)/2</f>
        <v>1125</v>
      </c>
      <c r="E6" s="29" t="n">
        <f aca="false">(E4+E5)/2</f>
        <v>2745</v>
      </c>
    </row>
    <row r="7" customFormat="false" ht="15" hidden="false" customHeight="false" outlineLevel="0" collapsed="false">
      <c r="B7" s="9" t="s">
        <v>12</v>
      </c>
      <c r="C7" s="29" t="n">
        <f aca="false">ROUNDUP(C5/8,0)</f>
        <v>63</v>
      </c>
      <c r="D7" s="29" t="n">
        <f aca="false">ROUNDUP(D5/8,0)</f>
        <v>219</v>
      </c>
      <c r="E7" s="29" t="n">
        <f aca="false">ROUNDUP(E5/8,0)</f>
        <v>468</v>
      </c>
    </row>
    <row r="8" customFormat="false" ht="15" hidden="false" customHeight="false" outlineLevel="0" collapsed="false">
      <c r="B8" s="9" t="s">
        <v>87</v>
      </c>
    </row>
    <row r="9" customFormat="false" ht="15" hidden="false" customHeight="false" outlineLevel="0" collapsed="false">
      <c r="B9" s="6" t="s">
        <v>88</v>
      </c>
      <c r="C9" s="29" t="n">
        <f aca="false">C6*Annahmen!C10*12</f>
        <v>18000</v>
      </c>
      <c r="D9" s="29" t="n">
        <f aca="false">D6*Annahmen!D10*12</f>
        <v>87750</v>
      </c>
      <c r="E9" s="29" t="n">
        <f aca="false">E6*Annahmen!E10*12</f>
        <v>230580</v>
      </c>
    </row>
    <row r="11" customFormat="false" ht="15" hidden="false" customHeight="false" outlineLevel="0" collapsed="false">
      <c r="B11" s="4" t="s">
        <v>89</v>
      </c>
    </row>
    <row r="13" customFormat="false" ht="15" hidden="false" customHeight="false" outlineLevel="0" collapsed="false">
      <c r="B13" s="6" t="s">
        <v>90</v>
      </c>
      <c r="C13" s="26" t="n">
        <f aca="false">C9*Annahmen!C17</f>
        <v>585000</v>
      </c>
      <c r="D13" s="26" t="n">
        <f aca="false">D9*Annahmen!D17</f>
        <v>2851875</v>
      </c>
      <c r="E13" s="26" t="n">
        <f aca="false">E9*Annahmen!E17</f>
        <v>7724430</v>
      </c>
    </row>
    <row r="14" customFormat="false" ht="15" hidden="false" customHeight="false" outlineLevel="0" collapsed="false">
      <c r="B14" s="6" t="s">
        <v>91</v>
      </c>
      <c r="C14" s="26" t="n">
        <f aca="false">C6*Annahmen!C12*Annahmen!C11*12*Annahmen!C20</f>
        <v>192000</v>
      </c>
      <c r="D14" s="26" t="n">
        <f aca="false">D6*Annahmen!D12*Annahmen!D11*12*Annahmen!D20</f>
        <v>967680</v>
      </c>
      <c r="E14" s="26" t="n">
        <f aca="false">E6*Annahmen!E12*Annahmen!E11*12*Annahmen!E20</f>
        <v>2608848</v>
      </c>
    </row>
    <row r="15" customFormat="false" ht="15" hidden="false" customHeight="false" outlineLevel="0" collapsed="false">
      <c r="B15" s="6" t="s">
        <v>92</v>
      </c>
      <c r="C15" s="26" t="n">
        <f aca="false">C6*Annahmen!C13*Annahmen!C22*12</f>
        <v>50400</v>
      </c>
      <c r="D15" s="26" t="n">
        <f aca="false">D6*Annahmen!D13*Annahmen!D22*12</f>
        <v>255150</v>
      </c>
      <c r="E15" s="26" t="n">
        <f aca="false">E6*Annahmen!E13*Annahmen!E22*12</f>
        <v>691740</v>
      </c>
    </row>
    <row r="16" customFormat="false" ht="15" hidden="false" customHeight="false" outlineLevel="0" collapsed="false">
      <c r="B16" s="6" t="s">
        <v>93</v>
      </c>
      <c r="C16" s="26" t="n">
        <f aca="false">C6*Annahmen!C14*Annahmen!C24*12</f>
        <v>5850</v>
      </c>
      <c r="D16" s="26" t="n">
        <f aca="false">D6*Annahmen!D14*Annahmen!D24*12</f>
        <v>42120</v>
      </c>
      <c r="E16" s="26" t="n">
        <f aca="false">E6*Annahmen!E14*Annahmen!E24*12</f>
        <v>128466</v>
      </c>
    </row>
    <row r="18" customFormat="false" ht="15" hidden="false" customHeight="false" outlineLevel="0" collapsed="false">
      <c r="B18" s="6" t="s">
        <v>94</v>
      </c>
      <c r="C18" s="31" t="n">
        <f aca="false">SUM(C13:C16)</f>
        <v>833250</v>
      </c>
      <c r="D18" s="31" t="n">
        <f aca="false">SUM(D13:D16)</f>
        <v>4116825</v>
      </c>
      <c r="E18" s="31" t="n">
        <f aca="false">SUM(E13:E16)</f>
        <v>11153484</v>
      </c>
    </row>
    <row r="20" customFormat="false" ht="15" hidden="false" customHeight="false" outlineLevel="0" collapsed="false">
      <c r="B20" s="4" t="s">
        <v>95</v>
      </c>
    </row>
    <row r="21" customFormat="false" ht="15" hidden="false" customHeight="false" outlineLevel="0" collapsed="false">
      <c r="B21" s="9" t="s">
        <v>96</v>
      </c>
      <c r="C21" s="32" t="n">
        <f aca="false">C13/C18</f>
        <v>0.702070207020702</v>
      </c>
      <c r="D21" s="32" t="n">
        <f aca="false">D13/D18</f>
        <v>0.692736514182653</v>
      </c>
      <c r="E21" s="32" t="n">
        <f aca="false">E13/E18</f>
        <v>0.692557590076787</v>
      </c>
    </row>
    <row r="22" customFormat="false" ht="15" hidden="false" customHeight="false" outlineLevel="0" collapsed="false">
      <c r="B22" s="9" t="s">
        <v>97</v>
      </c>
      <c r="C22" s="32" t="n">
        <f aca="false">C14/C18</f>
        <v>0.23042304230423</v>
      </c>
      <c r="D22" s="32" t="n">
        <f aca="false">D14/D18</f>
        <v>0.235054927037219</v>
      </c>
      <c r="E22" s="32" t="n">
        <f aca="false">E14/E18</f>
        <v>0.233904311872416</v>
      </c>
    </row>
    <row r="23" customFormat="false" ht="15" hidden="false" customHeight="false" outlineLevel="0" collapsed="false">
      <c r="B23" s="9" t="s">
        <v>98</v>
      </c>
      <c r="C23" s="32" t="n">
        <f aca="false">C15/C18</f>
        <v>0.0604860486048605</v>
      </c>
      <c r="D23" s="32" t="n">
        <f aca="false">D15/D18</f>
        <v>0.0619773733398918</v>
      </c>
      <c r="E23" s="32" t="n">
        <f aca="false">E15/E18</f>
        <v>0.0620200826934436</v>
      </c>
    </row>
    <row r="24" customFormat="false" ht="15" hidden="false" customHeight="false" outlineLevel="0" collapsed="false">
      <c r="B24" s="9" t="s">
        <v>99</v>
      </c>
      <c r="C24" s="32" t="n">
        <f aca="false">C16/C18</f>
        <v>0.00702070207020702</v>
      </c>
      <c r="D24" s="32" t="n">
        <f aca="false">D16/D18</f>
        <v>0.0102311854402361</v>
      </c>
      <c r="E24" s="32" t="n">
        <f aca="false">E16/E18</f>
        <v>0.0115180153573538</v>
      </c>
    </row>
    <row r="26" customFormat="false" ht="15" hidden="false" customHeight="false" outlineLevel="0" collapsed="false">
      <c r="B26" s="6" t="s">
        <v>100</v>
      </c>
      <c r="C26" s="26" t="n">
        <f aca="false">C18/C6/12</f>
        <v>277.75</v>
      </c>
      <c r="D26" s="26" t="n">
        <f aca="false">D18/D6/12</f>
        <v>304.95</v>
      </c>
      <c r="E26" s="26" t="n">
        <f aca="false">E18/E6/12</f>
        <v>338.6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5" min="3" style="0" width="16"/>
  </cols>
  <sheetData>
    <row r="2" customFormat="false" ht="22.05" hidden="false" customHeight="false" outlineLevel="0" collapsed="false">
      <c r="B2" s="2" t="s">
        <v>101</v>
      </c>
    </row>
    <row r="3" customFormat="false" ht="15" hidden="false" customHeight="false" outlineLevel="0" collapsed="false">
      <c r="B3" s="3" t="s">
        <v>102</v>
      </c>
    </row>
    <row r="5" customFormat="false" ht="15" hidden="false" customHeight="false" outlineLevel="0" collapsed="false">
      <c r="C5" s="5" t="s">
        <v>4</v>
      </c>
      <c r="D5" s="5" t="s">
        <v>5</v>
      </c>
      <c r="E5" s="5" t="s">
        <v>6</v>
      </c>
    </row>
    <row r="7" customFormat="false" ht="15" hidden="false" customHeight="false" outlineLevel="0" collapsed="false">
      <c r="B7" s="4" t="s">
        <v>103</v>
      </c>
    </row>
    <row r="8" customFormat="false" ht="15" hidden="false" customHeight="false" outlineLevel="0" collapsed="false">
      <c r="B8" s="9" t="s">
        <v>104</v>
      </c>
      <c r="C8" s="26" t="n">
        <f aca="false">Umsatz!C9*Annahmen!C18</f>
        <v>450000</v>
      </c>
      <c r="D8" s="26" t="n">
        <f aca="false">Umsatz!D9*Annahmen!D18</f>
        <v>2193750</v>
      </c>
      <c r="E8" s="26" t="n">
        <f aca="false">Umsatz!E9*Annahmen!E18</f>
        <v>5995080</v>
      </c>
    </row>
    <row r="9" customFormat="false" ht="15" hidden="false" customHeight="false" outlineLevel="0" collapsed="false">
      <c r="B9" s="9" t="s">
        <v>105</v>
      </c>
      <c r="C9" s="26" t="n">
        <f aca="false">Umsatz!C6*Annahmen!C12*Annahmen!C11*12*Annahmen!C21</f>
        <v>144000</v>
      </c>
      <c r="D9" s="26" t="n">
        <f aca="false">Umsatz!D6*Annahmen!D12*Annahmen!D11*12*Annahmen!D21</f>
        <v>725760</v>
      </c>
      <c r="E9" s="26" t="n">
        <f aca="false">Umsatz!E6*Annahmen!E12*Annahmen!E11*12*Annahmen!E21</f>
        <v>1936872</v>
      </c>
    </row>
    <row r="10" customFormat="false" ht="15" hidden="false" customHeight="false" outlineLevel="0" collapsed="false">
      <c r="B10" s="9" t="s">
        <v>106</v>
      </c>
      <c r="C10" s="26" t="n">
        <f aca="false">Umsatz!C6*Annahmen!C13*12*(Annahmen!C22-Annahmen!C23)</f>
        <v>36000</v>
      </c>
      <c r="D10" s="26" t="n">
        <f aca="false">Umsatz!D6*Annahmen!D13*12*(Annahmen!D22-Annahmen!D23)</f>
        <v>182250</v>
      </c>
      <c r="E10" s="26" t="n">
        <f aca="false">Umsatz!E6*Annahmen!E13*12*(Annahmen!E22-Annahmen!E23)</f>
        <v>494100</v>
      </c>
    </row>
    <row r="11" customFormat="false" ht="15" hidden="false" customHeight="false" outlineLevel="0" collapsed="false">
      <c r="B11" s="9" t="s">
        <v>107</v>
      </c>
      <c r="C11" s="26" t="n">
        <f aca="false">Umsatz!C18*0.015</f>
        <v>12498.75</v>
      </c>
      <c r="D11" s="26" t="n">
        <f aca="false">Umsatz!D18*0.015</f>
        <v>61752.375</v>
      </c>
      <c r="E11" s="26" t="n">
        <f aca="false">Umsatz!E18*0.015</f>
        <v>167302.26</v>
      </c>
    </row>
    <row r="12" customFormat="false" ht="15" hidden="false" customHeight="false" outlineLevel="0" collapsed="false">
      <c r="B12" s="6" t="s">
        <v>108</v>
      </c>
      <c r="C12" s="31" t="n">
        <f aca="false">SUM(C8:C11)</f>
        <v>642498.75</v>
      </c>
      <c r="D12" s="31" t="n">
        <f aca="false">SUM(D8:D11)</f>
        <v>3163512.375</v>
      </c>
      <c r="E12" s="31" t="n">
        <f aca="false">SUM(E8:E11)</f>
        <v>8593354.26</v>
      </c>
    </row>
    <row r="14" customFormat="false" ht="15" hidden="false" customHeight="false" outlineLevel="0" collapsed="false">
      <c r="B14" s="6" t="s">
        <v>109</v>
      </c>
      <c r="C14" s="26" t="n">
        <f aca="false">Umsatz!C18-C12</f>
        <v>190751.25</v>
      </c>
      <c r="D14" s="26" t="n">
        <f aca="false">Umsatz!D18-D12</f>
        <v>953312.625</v>
      </c>
      <c r="E14" s="26" t="n">
        <f aca="false">Umsatz!E18-E12</f>
        <v>2560129.74</v>
      </c>
    </row>
    <row r="15" customFormat="false" ht="15" hidden="false" customHeight="false" outlineLevel="0" collapsed="false">
      <c r="B15" s="9" t="s">
        <v>110</v>
      </c>
      <c r="C15" s="32" t="n">
        <f aca="false">C14/Umsatz!C18</f>
        <v>0.228924392439244</v>
      </c>
      <c r="D15" s="32" t="n">
        <f aca="false">D14/Umsatz!D18</f>
        <v>0.231565010657485</v>
      </c>
      <c r="E15" s="32" t="n">
        <f aca="false">E14/Umsatz!E18</f>
        <v>0.229536326048435</v>
      </c>
    </row>
    <row r="17" customFormat="false" ht="15" hidden="false" customHeight="false" outlineLevel="0" collapsed="false">
      <c r="B17" s="4" t="s">
        <v>111</v>
      </c>
    </row>
    <row r="18" customFormat="false" ht="15" hidden="false" customHeight="false" outlineLevel="0" collapsed="false">
      <c r="B18" s="9" t="s">
        <v>112</v>
      </c>
      <c r="C18" s="8" t="n">
        <f aca="false">Annahmen!C27</f>
        <v>480000</v>
      </c>
      <c r="D18" s="8" t="n">
        <f aca="false">Annahmen!D27</f>
        <v>960000</v>
      </c>
      <c r="E18" s="8" t="n">
        <f aca="false">Annahmen!E27</f>
        <v>1560000</v>
      </c>
    </row>
    <row r="19" customFormat="false" ht="15" hidden="false" customHeight="false" outlineLevel="0" collapsed="false">
      <c r="B19" s="9" t="s">
        <v>113</v>
      </c>
      <c r="C19" s="8" t="n">
        <f aca="false">Annahmen!C28</f>
        <v>180000</v>
      </c>
      <c r="D19" s="8" t="n">
        <f aca="false">Annahmen!D28</f>
        <v>420000</v>
      </c>
      <c r="E19" s="8" t="n">
        <f aca="false">Annahmen!E28</f>
        <v>550000</v>
      </c>
    </row>
    <row r="20" customFormat="false" ht="15" hidden="false" customHeight="false" outlineLevel="0" collapsed="false">
      <c r="B20" s="9" t="s">
        <v>114</v>
      </c>
      <c r="C20" s="8" t="n">
        <f aca="false">Annahmen!C29</f>
        <v>36000</v>
      </c>
      <c r="D20" s="8" t="n">
        <f aca="false">Annahmen!D29</f>
        <v>72000</v>
      </c>
      <c r="E20" s="8" t="n">
        <f aca="false">Annahmen!E29</f>
        <v>120000</v>
      </c>
    </row>
    <row r="21" customFormat="false" ht="15" hidden="false" customHeight="false" outlineLevel="0" collapsed="false">
      <c r="B21" s="9" t="s">
        <v>115</v>
      </c>
      <c r="C21" s="8" t="n">
        <f aca="false">Annahmen!C30</f>
        <v>72000</v>
      </c>
      <c r="D21" s="8" t="n">
        <f aca="false">Annahmen!D30</f>
        <v>90000</v>
      </c>
      <c r="E21" s="8" t="n">
        <f aca="false">Annahmen!E30</f>
        <v>110000</v>
      </c>
    </row>
    <row r="22" customFormat="false" ht="15" hidden="false" customHeight="false" outlineLevel="0" collapsed="false">
      <c r="B22" s="9" t="s">
        <v>116</v>
      </c>
      <c r="C22" s="8" t="n">
        <f aca="false">Annahmen!C31</f>
        <v>60000</v>
      </c>
      <c r="D22" s="8" t="n">
        <f aca="false">Annahmen!D31</f>
        <v>120000</v>
      </c>
      <c r="E22" s="8" t="n">
        <f aca="false">Annahmen!E31</f>
        <v>180000</v>
      </c>
    </row>
    <row r="23" customFormat="false" ht="15" hidden="false" customHeight="false" outlineLevel="0" collapsed="false">
      <c r="B23" s="6" t="s">
        <v>117</v>
      </c>
      <c r="C23" s="31" t="n">
        <f aca="false">SUM(C18:C22)</f>
        <v>828000</v>
      </c>
      <c r="D23" s="31" t="n">
        <f aca="false">SUM(D18:D22)</f>
        <v>1662000</v>
      </c>
      <c r="E23" s="31" t="n">
        <f aca="false">SUM(E18:E22)</f>
        <v>2520000</v>
      </c>
    </row>
    <row r="25" customFormat="false" ht="15" hidden="false" customHeight="false" outlineLevel="0" collapsed="false">
      <c r="B25" s="6" t="s">
        <v>118</v>
      </c>
      <c r="C25" s="31" t="n">
        <f aca="false">C12+C23</f>
        <v>1470498.75</v>
      </c>
      <c r="D25" s="31" t="n">
        <f aca="false">D12+D23</f>
        <v>4825512.375</v>
      </c>
      <c r="E25" s="31" t="n">
        <f aca="false">E12+E23</f>
        <v>11113354.26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5" min="3" style="0" width="16"/>
  </cols>
  <sheetData>
    <row r="2" customFormat="false" ht="22.05" hidden="false" customHeight="false" outlineLevel="0" collapsed="false">
      <c r="B2" s="2" t="s">
        <v>119</v>
      </c>
    </row>
    <row r="3" customFormat="false" ht="15" hidden="false" customHeight="false" outlineLevel="0" collapsed="false">
      <c r="B3" s="3" t="s">
        <v>120</v>
      </c>
    </row>
    <row r="5" customFormat="false" ht="15" hidden="false" customHeight="false" outlineLevel="0" collapsed="false">
      <c r="C5" s="5" t="s">
        <v>4</v>
      </c>
      <c r="D5" s="5" t="s">
        <v>5</v>
      </c>
      <c r="E5" s="5" t="s">
        <v>6</v>
      </c>
    </row>
    <row r="7" customFormat="false" ht="15" hidden="false" customHeight="false" outlineLevel="0" collapsed="false">
      <c r="B7" s="4" t="s">
        <v>8</v>
      </c>
    </row>
    <row r="8" customFormat="false" ht="15" hidden="false" customHeight="false" outlineLevel="0" collapsed="false">
      <c r="B8" s="33" t="s">
        <v>121</v>
      </c>
      <c r="C8" s="8" t="n">
        <f aca="false">Umsatz!C13</f>
        <v>585000</v>
      </c>
      <c r="D8" s="8" t="n">
        <f aca="false">Umsatz!D13</f>
        <v>2851875</v>
      </c>
      <c r="E8" s="8" t="n">
        <f aca="false">Umsatz!E13</f>
        <v>7724430</v>
      </c>
    </row>
    <row r="9" customFormat="false" ht="15" hidden="false" customHeight="false" outlineLevel="0" collapsed="false">
      <c r="B9" s="33" t="s">
        <v>122</v>
      </c>
      <c r="C9" s="8" t="n">
        <f aca="false">Umsatz!C14</f>
        <v>192000</v>
      </c>
      <c r="D9" s="8" t="n">
        <f aca="false">Umsatz!D14</f>
        <v>967680</v>
      </c>
      <c r="E9" s="8" t="n">
        <f aca="false">Umsatz!E14</f>
        <v>2608848</v>
      </c>
    </row>
    <row r="10" customFormat="false" ht="15" hidden="false" customHeight="false" outlineLevel="0" collapsed="false">
      <c r="B10" s="33" t="s">
        <v>123</v>
      </c>
      <c r="C10" s="8" t="n">
        <f aca="false">Umsatz!C15</f>
        <v>50400</v>
      </c>
      <c r="D10" s="8" t="n">
        <f aca="false">Umsatz!D15</f>
        <v>255150</v>
      </c>
      <c r="E10" s="8" t="n">
        <f aca="false">Umsatz!E15</f>
        <v>691740</v>
      </c>
    </row>
    <row r="11" customFormat="false" ht="15" hidden="false" customHeight="false" outlineLevel="0" collapsed="false">
      <c r="B11" s="33" t="s">
        <v>124</v>
      </c>
      <c r="C11" s="8" t="n">
        <f aca="false">Umsatz!C16</f>
        <v>5850</v>
      </c>
      <c r="D11" s="8" t="n">
        <f aca="false">Umsatz!D16</f>
        <v>42120</v>
      </c>
      <c r="E11" s="8" t="n">
        <f aca="false">Umsatz!E16</f>
        <v>128466</v>
      </c>
    </row>
    <row r="12" customFormat="false" ht="15" hidden="false" customHeight="false" outlineLevel="0" collapsed="false">
      <c r="B12" s="6" t="s">
        <v>125</v>
      </c>
      <c r="C12" s="31" t="n">
        <f aca="false">SUM(C8:C11)</f>
        <v>833250</v>
      </c>
      <c r="D12" s="31" t="n">
        <f aca="false">SUM(D8:D11)</f>
        <v>4116825</v>
      </c>
      <c r="E12" s="31" t="n">
        <f aca="false">SUM(E8:E11)</f>
        <v>11153484</v>
      </c>
    </row>
    <row r="14" customFormat="false" ht="15" hidden="false" customHeight="false" outlineLevel="0" collapsed="false">
      <c r="B14" s="4" t="s">
        <v>126</v>
      </c>
    </row>
    <row r="15" customFormat="false" ht="15" hidden="false" customHeight="false" outlineLevel="0" collapsed="false">
      <c r="B15" s="33" t="s">
        <v>127</v>
      </c>
      <c r="C15" s="8" t="n">
        <f aca="false">-Kosten!C12</f>
        <v>-642498.75</v>
      </c>
      <c r="D15" s="8" t="n">
        <f aca="false">-Kosten!D12</f>
        <v>-3163512.375</v>
      </c>
      <c r="E15" s="8" t="n">
        <f aca="false">-Kosten!E12</f>
        <v>-8593354.26</v>
      </c>
    </row>
    <row r="16" customFormat="false" ht="15" hidden="false" customHeight="false" outlineLevel="0" collapsed="false">
      <c r="B16" s="6" t="s">
        <v>109</v>
      </c>
      <c r="C16" s="31" t="n">
        <f aca="false">C12+C15</f>
        <v>190751.25</v>
      </c>
      <c r="D16" s="31" t="n">
        <f aca="false">D12+D15</f>
        <v>953312.625</v>
      </c>
      <c r="E16" s="31" t="n">
        <f aca="false">E12+E15</f>
        <v>2560129.74</v>
      </c>
    </row>
    <row r="17" customFormat="false" ht="15" hidden="false" customHeight="false" outlineLevel="0" collapsed="false">
      <c r="B17" s="9" t="s">
        <v>128</v>
      </c>
      <c r="C17" s="32" t="n">
        <f aca="false">C16/C12</f>
        <v>0.228924392439244</v>
      </c>
      <c r="D17" s="32" t="n">
        <f aca="false">D16/D12</f>
        <v>0.231565010657485</v>
      </c>
      <c r="E17" s="32" t="n">
        <f aca="false">E16/E12</f>
        <v>0.229536326048435</v>
      </c>
    </row>
    <row r="19" customFormat="false" ht="15" hidden="false" customHeight="false" outlineLevel="0" collapsed="false">
      <c r="B19" s="4" t="s">
        <v>111</v>
      </c>
    </row>
    <row r="20" customFormat="false" ht="15" hidden="false" customHeight="false" outlineLevel="0" collapsed="false">
      <c r="B20" s="33" t="s">
        <v>129</v>
      </c>
      <c r="C20" s="8" t="n">
        <f aca="false">-Annahmen!C27</f>
        <v>-480000</v>
      </c>
      <c r="D20" s="8" t="n">
        <f aca="false">-Annahmen!D27</f>
        <v>-960000</v>
      </c>
      <c r="E20" s="8" t="n">
        <f aca="false">-Annahmen!E27</f>
        <v>-1560000</v>
      </c>
    </row>
    <row r="21" customFormat="false" ht="15" hidden="false" customHeight="false" outlineLevel="0" collapsed="false">
      <c r="B21" s="33" t="s">
        <v>130</v>
      </c>
      <c r="C21" s="8" t="n">
        <f aca="false">-Annahmen!C28</f>
        <v>-180000</v>
      </c>
      <c r="D21" s="8" t="n">
        <f aca="false">-Annahmen!D28</f>
        <v>-420000</v>
      </c>
      <c r="E21" s="8" t="n">
        <f aca="false">-Annahmen!E28</f>
        <v>-550000</v>
      </c>
    </row>
    <row r="22" customFormat="false" ht="15" hidden="false" customHeight="false" outlineLevel="0" collapsed="false">
      <c r="B22" s="33" t="s">
        <v>131</v>
      </c>
      <c r="C22" s="8" t="n">
        <f aca="false">-Annahmen!C29</f>
        <v>-36000</v>
      </c>
      <c r="D22" s="8" t="n">
        <f aca="false">-Annahmen!D29</f>
        <v>-72000</v>
      </c>
      <c r="E22" s="8" t="n">
        <f aca="false">-Annahmen!E29</f>
        <v>-120000</v>
      </c>
    </row>
    <row r="23" customFormat="false" ht="15" hidden="false" customHeight="false" outlineLevel="0" collapsed="false">
      <c r="B23" s="33" t="s">
        <v>132</v>
      </c>
      <c r="C23" s="8" t="n">
        <f aca="false">-Annahmen!C30</f>
        <v>-72000</v>
      </c>
      <c r="D23" s="8" t="n">
        <f aca="false">-Annahmen!D30</f>
        <v>-90000</v>
      </c>
      <c r="E23" s="8" t="n">
        <f aca="false">-Annahmen!E30</f>
        <v>-110000</v>
      </c>
    </row>
    <row r="24" customFormat="false" ht="15" hidden="false" customHeight="false" outlineLevel="0" collapsed="false">
      <c r="B24" s="33" t="s">
        <v>133</v>
      </c>
      <c r="C24" s="8" t="n">
        <f aca="false">-Annahmen!C31</f>
        <v>-60000</v>
      </c>
      <c r="D24" s="8" t="n">
        <f aca="false">-Annahmen!D31</f>
        <v>-120000</v>
      </c>
      <c r="E24" s="8" t="n">
        <f aca="false">-Annahmen!E31</f>
        <v>-180000</v>
      </c>
    </row>
    <row r="25" customFormat="false" ht="15" hidden="false" customHeight="false" outlineLevel="0" collapsed="false">
      <c r="B25" s="6" t="s">
        <v>9</v>
      </c>
      <c r="C25" s="31" t="n">
        <f aca="false">C16+SUM(C20:C24)</f>
        <v>-637248.75</v>
      </c>
      <c r="D25" s="31" t="n">
        <f aca="false">D16+SUM(D20:D24)</f>
        <v>-708687.375</v>
      </c>
      <c r="E25" s="31" t="n">
        <f aca="false">E16+SUM(E20:E24)</f>
        <v>40129.7400000002</v>
      </c>
    </row>
    <row r="26" customFormat="false" ht="15" hidden="false" customHeight="false" outlineLevel="0" collapsed="false">
      <c r="B26" s="9" t="s">
        <v>134</v>
      </c>
      <c r="C26" s="32" t="n">
        <f aca="false">C25/C12</f>
        <v>-0.76477497749775</v>
      </c>
      <c r="D26" s="32" t="n">
        <f aca="false">D25/D12</f>
        <v>-0.172144158423057</v>
      </c>
      <c r="E26" s="32" t="n">
        <f aca="false">E25/E12</f>
        <v>0.00359795558051639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5" min="3" style="0" width="16"/>
  </cols>
  <sheetData>
    <row r="2" customFormat="false" ht="22.05" hidden="false" customHeight="false" outlineLevel="0" collapsed="false">
      <c r="B2" s="2" t="s">
        <v>135</v>
      </c>
    </row>
    <row r="3" customFormat="false" ht="15" hidden="false" customHeight="false" outlineLevel="0" collapsed="false">
      <c r="B3" s="3" t="s">
        <v>136</v>
      </c>
    </row>
    <row r="5" customFormat="false" ht="15" hidden="false" customHeight="false" outlineLevel="0" collapsed="false">
      <c r="C5" s="5" t="s">
        <v>4</v>
      </c>
      <c r="D5" s="5" t="s">
        <v>5</v>
      </c>
      <c r="E5" s="5" t="s">
        <v>6</v>
      </c>
    </row>
    <row r="7" customFormat="false" ht="15" hidden="false" customHeight="false" outlineLevel="0" collapsed="false">
      <c r="B7" s="4" t="s">
        <v>137</v>
      </c>
    </row>
    <row r="8" customFormat="false" ht="15" hidden="false" customHeight="false" outlineLevel="0" collapsed="false">
      <c r="B8" s="33" t="s">
        <v>138</v>
      </c>
      <c r="C8" s="8" t="n">
        <f aca="false">'P&amp;L'!C25</f>
        <v>-637248.75</v>
      </c>
      <c r="D8" s="8" t="n">
        <f aca="false">'P&amp;L'!D25</f>
        <v>-708687.375</v>
      </c>
      <c r="E8" s="8" t="n">
        <f aca="false">'P&amp;L'!E25</f>
        <v>40129.7400000002</v>
      </c>
    </row>
    <row r="9" customFormat="false" ht="15" hidden="false" customHeight="false" outlineLevel="0" collapsed="false">
      <c r="B9" s="33" t="s">
        <v>139</v>
      </c>
      <c r="C9" s="26" t="n">
        <f aca="false">-('P&amp;L'!C12-0)*0.05</f>
        <v>-41662.5</v>
      </c>
      <c r="D9" s="26" t="n">
        <f aca="false">-('P&amp;L'!D12-'P&amp;L'!C12)*0.05</f>
        <v>-164178.75</v>
      </c>
      <c r="E9" s="26" t="n">
        <f aca="false">-('P&amp;L'!E12-'P&amp;L'!D12)*0.05</f>
        <v>-351832.95</v>
      </c>
    </row>
    <row r="11" customFormat="false" ht="15" hidden="false" customHeight="false" outlineLevel="0" collapsed="false">
      <c r="B11" s="4" t="s">
        <v>140</v>
      </c>
    </row>
    <row r="12" customFormat="false" ht="15" hidden="false" customHeight="false" outlineLevel="0" collapsed="false">
      <c r="B12" s="33" t="s">
        <v>141</v>
      </c>
      <c r="C12" s="25" t="n">
        <v>-45000</v>
      </c>
      <c r="D12" s="25" t="n">
        <v>-60000</v>
      </c>
      <c r="E12" s="25" t="n">
        <v>-80000</v>
      </c>
    </row>
    <row r="14" customFormat="false" ht="15" hidden="false" customHeight="false" outlineLevel="0" collapsed="false">
      <c r="B14" s="6" t="s">
        <v>142</v>
      </c>
      <c r="C14" s="31" t="n">
        <f aca="false">C8+C9+C12</f>
        <v>-723911.25</v>
      </c>
      <c r="D14" s="31" t="n">
        <f aca="false">D8+D9+D12</f>
        <v>-932866.125</v>
      </c>
      <c r="E14" s="31" t="n">
        <f aca="false">E8+E9+E12</f>
        <v>-391703.21</v>
      </c>
    </row>
    <row r="16" customFormat="false" ht="15" hidden="false" customHeight="false" outlineLevel="0" collapsed="false">
      <c r="B16" s="4" t="s">
        <v>143</v>
      </c>
    </row>
    <row r="17" customFormat="false" ht="15" hidden="false" customHeight="false" outlineLevel="0" collapsed="false">
      <c r="B17" s="33" t="s">
        <v>144</v>
      </c>
      <c r="C17" s="34" t="n">
        <v>1000000</v>
      </c>
      <c r="D17" s="34" t="n">
        <v>0</v>
      </c>
      <c r="E17" s="34" t="n">
        <v>0</v>
      </c>
    </row>
    <row r="18" customFormat="false" ht="15" hidden="false" customHeight="false" outlineLevel="0" collapsed="false">
      <c r="B18" s="33" t="s">
        <v>145</v>
      </c>
      <c r="C18" s="25" t="n">
        <v>0</v>
      </c>
      <c r="D18" s="25" t="n">
        <v>2500000</v>
      </c>
      <c r="E18" s="25" t="n">
        <v>0</v>
      </c>
    </row>
    <row r="20" customFormat="false" ht="15" hidden="false" customHeight="false" outlineLevel="0" collapsed="false">
      <c r="B20" s="6" t="s">
        <v>146</v>
      </c>
      <c r="C20" s="31" t="n">
        <f aca="false">C14+C17+C18</f>
        <v>276088.75</v>
      </c>
      <c r="D20" s="31" t="n">
        <f aca="false">D14+D17+D18</f>
        <v>1567133.875</v>
      </c>
      <c r="E20" s="31" t="n">
        <f aca="false">E14+E17+E18</f>
        <v>-391703.21</v>
      </c>
    </row>
    <row r="22" customFormat="false" ht="15" hidden="false" customHeight="false" outlineLevel="0" collapsed="false">
      <c r="B22" s="9" t="s">
        <v>147</v>
      </c>
      <c r="C22" s="26" t="n">
        <v>0</v>
      </c>
      <c r="D22" s="26" t="n">
        <f aca="false">C23</f>
        <v>276088.75</v>
      </c>
      <c r="E22" s="26" t="n">
        <f aca="false">D23</f>
        <v>1843222.625</v>
      </c>
    </row>
    <row r="23" customFormat="false" ht="15" hidden="false" customHeight="false" outlineLevel="0" collapsed="false">
      <c r="B23" s="6" t="s">
        <v>148</v>
      </c>
      <c r="C23" s="31" t="n">
        <f aca="false">C22+C20</f>
        <v>276088.75</v>
      </c>
      <c r="D23" s="31" t="n">
        <f aca="false">D22+D20</f>
        <v>1843222.625</v>
      </c>
      <c r="E23" s="31" t="n">
        <f aca="false">E22+E20</f>
        <v>1451519.415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5" min="5" style="0" width="50"/>
  </cols>
  <sheetData>
    <row r="2" customFormat="false" ht="22.05" hidden="false" customHeight="false" outlineLevel="0" collapsed="false">
      <c r="B2" s="2" t="s">
        <v>149</v>
      </c>
    </row>
    <row r="3" customFormat="false" ht="15" hidden="false" customHeight="false" outlineLevel="0" collapsed="false">
      <c r="B3" s="3" t="s">
        <v>150</v>
      </c>
    </row>
    <row r="6" customFormat="false" ht="15" hidden="false" customHeight="false" outlineLevel="0" collapsed="false">
      <c r="B6" s="4" t="s">
        <v>151</v>
      </c>
    </row>
    <row r="7" customFormat="false" ht="15" hidden="false" customHeight="false" outlineLevel="0" collapsed="false">
      <c r="B7" s="6" t="s">
        <v>152</v>
      </c>
      <c r="C7" s="34" t="n">
        <v>1000000</v>
      </c>
    </row>
    <row r="8" customFormat="false" ht="15" hidden="false" customHeight="false" outlineLevel="0" collapsed="false">
      <c r="B8" s="9" t="s">
        <v>153</v>
      </c>
      <c r="C8" s="26" t="n">
        <f aca="false">-(Cashflow!C14)/12</f>
        <v>60325.9375</v>
      </c>
    </row>
    <row r="9" customFormat="false" ht="15" hidden="false" customHeight="false" outlineLevel="0" collapsed="false">
      <c r="B9" s="6" t="s">
        <v>16</v>
      </c>
      <c r="C9" s="28" t="n">
        <f aca="false">C7/C8</f>
        <v>16.5766176447734</v>
      </c>
    </row>
    <row r="11" customFormat="false" ht="15" hidden="false" customHeight="false" outlineLevel="0" collapsed="false">
      <c r="B11" s="4" t="s">
        <v>154</v>
      </c>
    </row>
    <row r="13" customFormat="false" ht="15" hidden="false" customHeight="false" outlineLevel="0" collapsed="false">
      <c r="B13" s="18" t="s">
        <v>155</v>
      </c>
      <c r="C13" s="18" t="s">
        <v>156</v>
      </c>
      <c r="D13" s="18" t="s">
        <v>157</v>
      </c>
      <c r="E13" s="18" t="s">
        <v>158</v>
      </c>
    </row>
    <row r="14" customFormat="false" ht="15" hidden="false" customHeight="false" outlineLevel="0" collapsed="false">
      <c r="B14" s="9" t="s">
        <v>159</v>
      </c>
      <c r="C14" s="25" t="n">
        <v>400000</v>
      </c>
      <c r="D14" s="32" t="n">
        <f aca="false">C14/$C$7</f>
        <v>0.4</v>
      </c>
      <c r="E14" s="9" t="s">
        <v>160</v>
      </c>
    </row>
    <row r="15" customFormat="false" ht="15" hidden="false" customHeight="false" outlineLevel="0" collapsed="false">
      <c r="B15" s="9" t="s">
        <v>113</v>
      </c>
      <c r="C15" s="25" t="n">
        <v>250000</v>
      </c>
      <c r="D15" s="32" t="n">
        <f aca="false">C15/$C$7</f>
        <v>0.25</v>
      </c>
      <c r="E15" s="9" t="s">
        <v>161</v>
      </c>
    </row>
    <row r="16" customFormat="false" ht="15" hidden="false" customHeight="false" outlineLevel="0" collapsed="false">
      <c r="B16" s="9" t="s">
        <v>162</v>
      </c>
      <c r="C16" s="25" t="n">
        <v>150000</v>
      </c>
      <c r="D16" s="32" t="n">
        <f aca="false">C16/$C$7</f>
        <v>0.15</v>
      </c>
      <c r="E16" s="9" t="s">
        <v>163</v>
      </c>
    </row>
    <row r="17" customFormat="false" ht="15" hidden="false" customHeight="false" outlineLevel="0" collapsed="false">
      <c r="B17" s="9" t="s">
        <v>164</v>
      </c>
      <c r="C17" s="25" t="n">
        <v>100000</v>
      </c>
      <c r="D17" s="32" t="n">
        <f aca="false">C17/$C$7</f>
        <v>0.1</v>
      </c>
      <c r="E17" s="9" t="s">
        <v>165</v>
      </c>
    </row>
    <row r="18" customFormat="false" ht="15" hidden="false" customHeight="false" outlineLevel="0" collapsed="false">
      <c r="B18" s="9" t="s">
        <v>166</v>
      </c>
      <c r="C18" s="25" t="n">
        <v>70000</v>
      </c>
      <c r="D18" s="32" t="n">
        <f aca="false">C18/$C$7</f>
        <v>0.07</v>
      </c>
      <c r="E18" s="9" t="s">
        <v>167</v>
      </c>
    </row>
    <row r="19" customFormat="false" ht="15" hidden="false" customHeight="false" outlineLevel="0" collapsed="false">
      <c r="B19" s="9" t="s">
        <v>168</v>
      </c>
      <c r="C19" s="25" t="n">
        <v>30000</v>
      </c>
      <c r="D19" s="32" t="n">
        <f aca="false">C19/$C$7</f>
        <v>0.03</v>
      </c>
      <c r="E19" s="9" t="s">
        <v>169</v>
      </c>
    </row>
    <row r="21" customFormat="false" ht="15" hidden="false" customHeight="false" outlineLevel="0" collapsed="false">
      <c r="B21" s="6" t="s">
        <v>7</v>
      </c>
      <c r="C21" s="31" t="n">
        <f aca="false">SUM(C14:C20)</f>
        <v>1000000</v>
      </c>
      <c r="D21" s="35" t="n">
        <f aca="false">SUM(D14:D20)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" min="3" style="0" width="18"/>
  </cols>
  <sheetData>
    <row r="2" customFormat="false" ht="22.05" hidden="false" customHeight="false" outlineLevel="0" collapsed="false">
      <c r="B2" s="2" t="s">
        <v>170</v>
      </c>
    </row>
    <row r="3" customFormat="false" ht="15" hidden="false" customHeight="false" outlineLevel="0" collapsed="false">
      <c r="B3" s="3" t="s">
        <v>171</v>
      </c>
    </row>
    <row r="5" customFormat="false" ht="15" hidden="false" customHeight="false" outlineLevel="0" collapsed="false">
      <c r="B5" s="18" t="s">
        <v>172</v>
      </c>
      <c r="C5" s="5" t="s">
        <v>173</v>
      </c>
      <c r="D5" s="5" t="s">
        <v>174</v>
      </c>
      <c r="E5" s="5" t="s">
        <v>175</v>
      </c>
    </row>
    <row r="7" customFormat="false" ht="15" hidden="false" customHeight="false" outlineLevel="0" collapsed="false">
      <c r="B7" s="4" t="s">
        <v>176</v>
      </c>
    </row>
    <row r="8" customFormat="false" ht="15" hidden="false" customHeight="false" outlineLevel="0" collapsed="false">
      <c r="B8" s="9" t="s">
        <v>177</v>
      </c>
      <c r="C8" s="36" t="n">
        <v>350</v>
      </c>
      <c r="D8" s="36" t="n">
        <v>500</v>
      </c>
      <c r="E8" s="36" t="n">
        <v>700</v>
      </c>
    </row>
    <row r="9" customFormat="false" ht="15" hidden="false" customHeight="false" outlineLevel="0" collapsed="false">
      <c r="B9" s="9" t="s">
        <v>178</v>
      </c>
      <c r="C9" s="36" t="n">
        <v>900</v>
      </c>
      <c r="D9" s="36" t="n">
        <v>1300</v>
      </c>
      <c r="E9" s="36" t="n">
        <v>1700</v>
      </c>
    </row>
    <row r="10" customFormat="false" ht="15" hidden="false" customHeight="false" outlineLevel="0" collapsed="false">
      <c r="B10" s="9" t="s">
        <v>179</v>
      </c>
      <c r="C10" s="36" t="n">
        <v>1500</v>
      </c>
      <c r="D10" s="36" t="n">
        <v>2200</v>
      </c>
      <c r="E10" s="36" t="n">
        <v>2900</v>
      </c>
    </row>
    <row r="11" customFormat="false" ht="15" hidden="false" customHeight="false" outlineLevel="0" collapsed="false">
      <c r="B11" s="9" t="s">
        <v>180</v>
      </c>
      <c r="C11" s="20" t="n">
        <v>0.15</v>
      </c>
      <c r="D11" s="20" t="n">
        <v>0.1</v>
      </c>
      <c r="E11" s="20" t="n">
        <v>0.06</v>
      </c>
    </row>
    <row r="12" customFormat="false" ht="15" hidden="false" customHeight="false" outlineLevel="0" collapsed="false">
      <c r="B12" s="9" t="s">
        <v>181</v>
      </c>
      <c r="C12" s="21" t="n">
        <v>4.5</v>
      </c>
      <c r="D12" s="21" t="n">
        <v>6.5</v>
      </c>
      <c r="E12" s="21" t="n">
        <v>7.5</v>
      </c>
    </row>
    <row r="13" customFormat="false" ht="15" hidden="false" customHeight="false" outlineLevel="0" collapsed="false">
      <c r="B13" s="9" t="s">
        <v>182</v>
      </c>
      <c r="C13" s="20" t="n">
        <v>0.18</v>
      </c>
      <c r="D13" s="20" t="n">
        <v>0.28</v>
      </c>
      <c r="E13" s="20" t="n">
        <v>0.35</v>
      </c>
    </row>
    <row r="15" customFormat="false" ht="15" hidden="false" customHeight="false" outlineLevel="0" collapsed="false">
      <c r="B15" s="4" t="s">
        <v>183</v>
      </c>
    </row>
    <row r="16" customFormat="false" ht="15" hidden="false" customHeight="false" outlineLevel="0" collapsed="false">
      <c r="B16" s="6" t="s">
        <v>184</v>
      </c>
      <c r="C16" s="26" t="n">
        <f aca="false">D16*0.55</f>
        <v>6134416.2</v>
      </c>
      <c r="D16" s="26" t="n">
        <f aca="false">Umsatz!E18</f>
        <v>11153484</v>
      </c>
      <c r="E16" s="26" t="n">
        <f aca="false">D16*1.45</f>
        <v>16172551.8</v>
      </c>
    </row>
    <row r="17" customFormat="false" ht="15" hidden="false" customHeight="false" outlineLevel="0" collapsed="false">
      <c r="B17" s="6" t="s">
        <v>185</v>
      </c>
      <c r="C17" s="26" t="n">
        <f aca="false">D17-1800000</f>
        <v>-1759870.26</v>
      </c>
      <c r="D17" s="26" t="n">
        <f aca="false">'P&amp;L'!E25</f>
        <v>40129.7400000002</v>
      </c>
      <c r="E17" s="26" t="n">
        <f aca="false">D17+2200000</f>
        <v>2240129.74</v>
      </c>
    </row>
    <row r="18" customFormat="false" ht="15" hidden="false" customHeight="false" outlineLevel="0" collapsed="false">
      <c r="B18" s="9" t="s">
        <v>186</v>
      </c>
      <c r="C18" s="32" t="n">
        <f aca="false">C17/C16</f>
        <v>-0.28688471773402</v>
      </c>
      <c r="D18" s="32" t="n">
        <f aca="false">D17/D16</f>
        <v>0.00359795558051639</v>
      </c>
      <c r="E18" s="32" t="n">
        <f aca="false">E17/E16</f>
        <v>0.138514302980931</v>
      </c>
    </row>
    <row r="20" customFormat="false" ht="15" hidden="false" customHeight="false" outlineLevel="0" collapsed="false">
      <c r="B20" s="6" t="s">
        <v>17</v>
      </c>
      <c r="C20" s="37" t="s">
        <v>187</v>
      </c>
      <c r="D20" s="37" t="s">
        <v>18</v>
      </c>
      <c r="E20" s="37" t="s">
        <v>188</v>
      </c>
    </row>
    <row r="21" customFormat="false" ht="15" hidden="false" customHeight="false" outlineLevel="0" collapsed="false">
      <c r="B21" s="9" t="s">
        <v>189</v>
      </c>
      <c r="C21" s="25" t="n">
        <v>4500000</v>
      </c>
      <c r="D21" s="25" t="n">
        <v>2500000</v>
      </c>
      <c r="E21" s="25" t="n">
        <v>1500000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2026-04-20T22:03:27Z</dcterms:created>
  <dc:creator>openpyxl</dc:creator>
  <dc:description/>
  <dc:language>en-US</dc:language>
  <cp:lastModifiedBy/>
  <dcterms:modified xsi:type="dcterms:W3CDTF">2026-04-20T22:03:27Z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