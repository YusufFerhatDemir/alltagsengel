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Annahmen" sheetId="2" state="visible" r:id="rId2"/>
    <sheet xmlns:r="http://schemas.openxmlformats.org/officeDocument/2006/relationships" name="Umsatz" sheetId="3" state="visible" r:id="rId3"/>
    <sheet xmlns:r="http://schemas.openxmlformats.org/officeDocument/2006/relationships" name="Kosten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Cashflow" sheetId="6" state="visible" r:id="rId6"/>
    <sheet xmlns:r="http://schemas.openxmlformats.org/officeDocument/2006/relationships" name="Kapital" sheetId="7" state="visible" r:id="rId7"/>
    <sheet xmlns:r="http://schemas.openxmlformats.org/officeDocument/2006/relationships" name="Sensitivität" sheetId="8" state="visible" r:id="rId8"/>
    <sheet xmlns:r="http://schemas.openxmlformats.org/officeDocument/2006/relationships" name="OpEx-Detail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_-* #,##0&quot; €&quot;_-;_-* \(#,##0&quot;) €&quot;_-;_-* \-??_-;_-@_-"/>
    <numFmt numFmtId="165" formatCode="_-* #,##0_-;_-* \(#,##0\)_-;_-* \-??_-;_-@_-"/>
    <numFmt numFmtId="166" formatCode="0&quot; Monate&quot;"/>
    <numFmt numFmtId="167" formatCode="0.0\x"/>
    <numFmt numFmtId="168" formatCode="0.0%;\(0.0%\);\-"/>
    <numFmt numFmtId="169" formatCode="0.0"/>
    <numFmt numFmtId="170" formatCode="#,##0.00&quot; €&quot;"/>
    <numFmt numFmtId="171" formatCode="#,##0&quot; €&quot;"/>
    <numFmt numFmtId="172" formatCode="0.0%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9A24B"/>
      <sz val="11"/>
    </font>
    <font>
      <name val="Calibri"/>
      <charset val="1"/>
      <family val="0"/>
      <b val="1"/>
      <color rgb="FF1A1612"/>
      <sz val="18"/>
    </font>
    <font>
      <name val="Calibri"/>
      <charset val="1"/>
      <family val="0"/>
      <i val="1"/>
      <color rgb="FF8A7F6E"/>
      <sz val="10"/>
    </font>
    <font>
      <name val="Calibri"/>
      <charset val="1"/>
      <family val="0"/>
      <b val="1"/>
      <color rgb="FFC9A24B"/>
      <sz val="12"/>
    </font>
    <font>
      <name val="Calibri"/>
      <charset val="1"/>
      <family val="0"/>
      <b val="1"/>
      <color rgb="FFF5EFE6"/>
      <sz val="11"/>
    </font>
    <font>
      <name val="Calibri"/>
      <charset val="1"/>
      <family val="0"/>
      <b val="1"/>
      <color rgb="FF1A1612"/>
      <sz val="10"/>
    </font>
    <font>
      <name val="Calibri"/>
      <charset val="1"/>
      <family val="0"/>
      <b val="1"/>
      <color rgb="FF008000"/>
      <sz val="10"/>
    </font>
    <font>
      <name val="Calibri"/>
      <charset val="1"/>
      <family val="0"/>
      <color rgb="FF008000"/>
      <sz val="10"/>
    </font>
    <font>
      <name val="Calibri"/>
      <charset val="1"/>
      <family val="0"/>
      <color rgb="FF1A1612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b val="1"/>
      <color rgb="FF000000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i val="1"/>
      <sz val="10"/>
    </font>
    <font>
      <name val="Calibri"/>
      <b val="1"/>
      <color rgb="00C9A24B"/>
      <sz val="14"/>
    </font>
    <font>
      <name val="Calibri"/>
      <i val="1"/>
      <color rgb="008A7F6E"/>
      <sz val="10"/>
    </font>
  </fonts>
  <fills count="5">
    <fill>
      <patternFill/>
    </fill>
    <fill>
      <patternFill patternType="gray125"/>
    </fill>
    <fill>
      <patternFill patternType="solid">
        <fgColor rgb="FF1A1612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001A1612"/>
        <bgColor rgb="001A1612"/>
      </patternFill>
    </fill>
  </fills>
  <borders count="2">
    <border>
      <left/>
      <right/>
      <top/>
      <bottom/>
      <diagonal/>
    </border>
    <border>
      <left/>
      <right/>
      <top style="double">
        <color rgb="FF1A1612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right" vertical="bottom"/>
    </xf>
    <xf numFmtId="167" fontId="11" fillId="0" borderId="0" applyAlignment="1" pivotButton="0" quotePrefix="0" xfId="0">
      <alignment horizontal="right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center"/>
    </xf>
    <xf numFmtId="165" fontId="15" fillId="3" borderId="0" applyAlignment="1" pivotButton="0" quotePrefix="0" xfId="0">
      <alignment horizontal="right" vertical="bottom"/>
    </xf>
    <xf numFmtId="168" fontId="13" fillId="0" borderId="0" applyAlignment="1" pivotButton="0" quotePrefix="0" xfId="0">
      <alignment horizontal="right" vertical="bottom"/>
    </xf>
    <xf numFmtId="169" fontId="13" fillId="0" borderId="0" applyAlignment="1" pivotButton="0" quotePrefix="0" xfId="0">
      <alignment horizontal="right" vertical="bottom"/>
    </xf>
    <xf numFmtId="170" fontId="15" fillId="3" borderId="0" applyAlignment="1" pivotButton="0" quotePrefix="0" xfId="0">
      <alignment horizontal="right" vertical="bottom"/>
    </xf>
    <xf numFmtId="170" fontId="13" fillId="0" borderId="0" applyAlignment="1" pivotButton="0" quotePrefix="0" xfId="0">
      <alignment horizontal="right" vertical="bottom"/>
    </xf>
    <xf numFmtId="170" fontId="14" fillId="0" borderId="0" applyAlignment="1" pivotButton="0" quotePrefix="0" xfId="0">
      <alignment horizontal="right" vertical="bottom"/>
    </xf>
    <xf numFmtId="164" fontId="13" fillId="0" borderId="0" applyAlignment="1" pivotButton="0" quotePrefix="0" xfId="0">
      <alignment horizontal="right" vertical="bottom"/>
    </xf>
    <xf numFmtId="164" fontId="14" fillId="0" borderId="0" applyAlignment="1" pivotButton="0" quotePrefix="0" xfId="0">
      <alignment horizontal="right" vertical="bottom"/>
    </xf>
    <xf numFmtId="167" fontId="14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right" vertical="bottom"/>
    </xf>
    <xf numFmtId="165" fontId="14" fillId="0" borderId="0" applyAlignment="1" pivotButton="0" quotePrefix="0" xfId="0">
      <alignment horizontal="right" vertical="bottom"/>
    </xf>
    <xf numFmtId="165" fontId="16" fillId="2" borderId="0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8" fontId="14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left" vertical="center" indent="1"/>
    </xf>
    <xf numFmtId="164" fontId="15" fillId="3" borderId="0" applyAlignment="1" pivotButton="0" quotePrefix="0" xfId="0">
      <alignment horizontal="right" vertical="bottom"/>
    </xf>
    <xf numFmtId="168" fontId="9" fillId="0" borderId="1" applyAlignment="1" pivotButton="0" quotePrefix="0" xfId="0">
      <alignment horizontal="right" vertical="bottom"/>
    </xf>
    <xf numFmtId="165" fontId="13" fillId="0" borderId="0" applyAlignment="1" pivotButton="0" quotePrefix="0" xfId="0">
      <alignment horizontal="right" vertical="bottom"/>
    </xf>
    <xf numFmtId="0" fontId="13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right" vertical="bottom"/>
    </xf>
    <xf numFmtId="167" fontId="11" fillId="0" borderId="0" applyAlignment="1" pivotButton="0" quotePrefix="0" xfId="0">
      <alignment horizontal="right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center"/>
    </xf>
    <xf numFmtId="165" fontId="15" fillId="3" borderId="0" applyAlignment="1" pivotButton="0" quotePrefix="0" xfId="0">
      <alignment horizontal="right" vertical="bottom"/>
    </xf>
    <xf numFmtId="168" fontId="13" fillId="0" borderId="0" applyAlignment="1" pivotButton="0" quotePrefix="0" xfId="0">
      <alignment horizontal="right" vertical="bottom"/>
    </xf>
    <xf numFmtId="169" fontId="13" fillId="0" borderId="0" applyAlignment="1" pivotButton="0" quotePrefix="0" xfId="0">
      <alignment horizontal="right" vertical="bottom"/>
    </xf>
    <xf numFmtId="170" fontId="15" fillId="3" borderId="0" applyAlignment="1" pivotButton="0" quotePrefix="0" xfId="0">
      <alignment horizontal="right" vertical="bottom"/>
    </xf>
    <xf numFmtId="170" fontId="13" fillId="0" borderId="0" applyAlignment="1" pivotButton="0" quotePrefix="0" xfId="0">
      <alignment horizontal="right" vertical="bottom"/>
    </xf>
    <xf numFmtId="170" fontId="14" fillId="0" borderId="0" applyAlignment="1" pivotButton="0" quotePrefix="0" xfId="0">
      <alignment horizontal="right" vertical="bottom"/>
    </xf>
    <xf numFmtId="164" fontId="13" fillId="0" borderId="0" applyAlignment="1" pivotButton="0" quotePrefix="0" xfId="0">
      <alignment horizontal="right" vertical="bottom"/>
    </xf>
    <xf numFmtId="164" fontId="14" fillId="0" borderId="0" applyAlignment="1" pivotButton="0" quotePrefix="0" xfId="0">
      <alignment horizontal="right" vertical="bottom"/>
    </xf>
    <xf numFmtId="167" fontId="14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right" vertical="bottom"/>
    </xf>
    <xf numFmtId="165" fontId="14" fillId="0" borderId="0" applyAlignment="1" pivotButton="0" quotePrefix="0" xfId="0">
      <alignment horizontal="right" vertical="bottom"/>
    </xf>
    <xf numFmtId="165" fontId="16" fillId="2" borderId="0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8" fontId="14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left" vertical="center" indent="1"/>
    </xf>
    <xf numFmtId="164" fontId="15" fillId="3" borderId="0" applyAlignment="1" pivotButton="0" quotePrefix="0" xfId="0">
      <alignment horizontal="right" vertical="bottom"/>
    </xf>
    <xf numFmtId="0" fontId="1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71" fontId="18" fillId="0" borderId="0" applyAlignment="1" pivotButton="0" quotePrefix="0" xfId="0">
      <alignment horizontal="right" vertical="bottom"/>
    </xf>
    <xf numFmtId="172" fontId="18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vertical="center" wrapText="1"/>
    </xf>
    <xf numFmtId="0" fontId="18" fillId="0" borderId="0" pivotButton="0" quotePrefix="0" xfId="0"/>
    <xf numFmtId="171" fontId="18" fillId="0" borderId="0" pivotButton="0" quotePrefix="0" xfId="0"/>
    <xf numFmtId="172" fontId="18" fillId="0" borderId="0" pivotButton="0" quotePrefix="0" xfId="0"/>
    <xf numFmtId="171" fontId="18" fillId="0" borderId="1" applyAlignment="1" pivotButton="0" quotePrefix="0" xfId="0">
      <alignment horizontal="right" vertical="bottom"/>
    </xf>
    <xf numFmtId="172" fontId="18" fillId="0" borderId="1" applyAlignment="1" pivotButton="0" quotePrefix="0" xfId="0">
      <alignment horizontal="right" vertical="bottom"/>
    </xf>
    <xf numFmtId="0" fontId="19" fillId="0" borderId="0" pivotButton="0" quotePrefix="0" xfId="0"/>
    <xf numFmtId="171" fontId="19" fillId="0" borderId="0" pivotButton="0" quotePrefix="0" xfId="0"/>
    <xf numFmtId="172" fontId="19" fillId="0" borderId="0" pivotButton="0" quotePrefix="0" xfId="0"/>
    <xf numFmtId="0" fontId="20" fillId="0" borderId="0" pivotButton="0" quotePrefix="0" xfId="0"/>
    <xf numFmtId="165" fontId="13" fillId="0" borderId="0" applyAlignment="1" pivotButton="0" quotePrefix="0" xfId="0">
      <alignment horizontal="right" vertical="bottom"/>
    </xf>
    <xf numFmtId="0" fontId="13" fillId="0" borderId="0" applyAlignment="1" pivotButton="0" quotePrefix="0" xfId="0">
      <alignment horizontal="right" vertical="bottom"/>
    </xf>
    <xf numFmtId="0" fontId="21" fillId="0" borderId="0" pivotButton="0" quotePrefix="0" xfId="0"/>
    <xf numFmtId="0" fontId="22" fillId="0" borderId="0" pivotButton="0" quotePrefix="0" xfId="0"/>
    <xf numFmtId="0" fontId="17" fillId="4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5EF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7F6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24B"/>
      <rgbColor rgb="FF003366"/>
      <rgbColor rgb="FF339966"/>
      <rgbColor rgb="FF003300"/>
      <rgbColor rgb="FF1A1612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35" customWidth="1" style="38" min="2" max="2"/>
    <col width="16" customWidth="1" style="38" min="3" max="7"/>
  </cols>
  <sheetData>
    <row r="2" ht="15" customHeight="1" s="39">
      <c r="B2" s="40" t="inlineStr">
        <is>
          <t>AlltagsEngel</t>
        </is>
      </c>
    </row>
    <row r="3" ht="27.75" customHeight="1" s="39">
      <c r="B3" s="41" t="inlineStr">
        <is>
          <t>Finanzmodell 2026–2028</t>
        </is>
      </c>
    </row>
    <row r="4" ht="15" customHeight="1" s="39">
      <c r="B4" s="42" t="inlineStr">
        <is>
          <t>3-Jahres-Plan · Pre-Seed · Frankfurt am Main · Vertraulich</t>
        </is>
      </c>
    </row>
    <row r="6" ht="15" customHeight="1" s="39">
      <c r="B6" s="43" t="inlineStr">
        <is>
          <t>Key Financials</t>
        </is>
      </c>
    </row>
    <row r="8" ht="15" customHeight="1" s="39">
      <c r="C8" s="44" t="inlineStr">
        <is>
          <t>2026</t>
        </is>
      </c>
      <c r="D8" s="44" t="inlineStr">
        <is>
          <t>2027</t>
        </is>
      </c>
      <c r="E8" s="44" t="inlineStr">
        <is>
          <t>2028</t>
        </is>
      </c>
      <c r="F8" s="44" t="inlineStr">
        <is>
          <t>Summe</t>
        </is>
      </c>
    </row>
    <row r="10" ht="15" customHeight="1" s="39">
      <c r="B10" s="45" t="inlineStr">
        <is>
          <t>Umsatz</t>
        </is>
      </c>
      <c r="C10" s="46">
        <f>'P&amp;L'!C12</f>
        <v/>
      </c>
      <c r="D10" s="46">
        <f>'P&amp;L'!D12</f>
        <v/>
      </c>
      <c r="E10" s="46">
        <f>'P&amp;L'!E12</f>
        <v/>
      </c>
      <c r="F10" s="47">
        <f>SUM(C10:E10)</f>
        <v/>
      </c>
    </row>
    <row r="11" ht="15" customHeight="1" s="39">
      <c r="B11" s="45" t="inlineStr">
        <is>
          <t>EBITDA</t>
        </is>
      </c>
      <c r="C11" s="46">
        <f>'P&amp;L'!C25</f>
        <v/>
      </c>
      <c r="D11" s="46">
        <f>'P&amp;L'!D25</f>
        <v/>
      </c>
      <c r="E11" s="46">
        <f>'P&amp;L'!E25</f>
        <v/>
      </c>
      <c r="F11" s="47">
        <f>SUM(C11:E11)</f>
        <v/>
      </c>
    </row>
    <row r="12" ht="15" customHeight="1" s="39">
      <c r="B12" s="45" t="inlineStr">
        <is>
          <t>Cash-Burn</t>
        </is>
      </c>
      <c r="C12" s="47">
        <f>Cashflow!C14</f>
        <v/>
      </c>
      <c r="D12" s="47">
        <f>Cashflow!D14</f>
        <v/>
      </c>
      <c r="E12" s="47">
        <f>Cashflow!E14</f>
        <v/>
      </c>
      <c r="F12" s="47">
        <f>SUM(C12:E12)</f>
        <v/>
      </c>
    </row>
    <row r="13" ht="15" customHeight="1" s="39">
      <c r="B13" s="48" t="inlineStr">
        <is>
          <t>Aktive Kunden (Ende)</t>
        </is>
      </c>
      <c r="C13" s="49">
        <f>Umsatz!C5</f>
        <v/>
      </c>
      <c r="D13" s="49">
        <f>Umsatz!D5</f>
        <v/>
      </c>
      <c r="E13" s="49">
        <f>Umsatz!E5</f>
        <v/>
      </c>
      <c r="F13" s="49" t="n"/>
    </row>
    <row r="14" ht="15" customHeight="1" s="39">
      <c r="B14" s="48" t="inlineStr">
        <is>
          <t>Aktive Engel (Ende)</t>
        </is>
      </c>
      <c r="C14" s="49">
        <f>Umsatz!C7</f>
        <v/>
      </c>
      <c r="D14" s="49">
        <f>Umsatz!D7</f>
        <v/>
      </c>
      <c r="E14" s="49">
        <f>Umsatz!E7</f>
        <v/>
      </c>
      <c r="F14" s="49" t="n"/>
    </row>
    <row r="15" ht="15" customHeight="1" s="39">
      <c r="B15" s="48" t="inlineStr">
        <is>
          <t>Buchungen / Jahr</t>
        </is>
      </c>
      <c r="C15" s="49">
        <f>Umsatz!C9</f>
        <v/>
      </c>
      <c r="D15" s="49">
        <f>Umsatz!D9</f>
        <v/>
      </c>
      <c r="E15" s="49">
        <f>Umsatz!E9</f>
        <v/>
      </c>
      <c r="F15" s="49">
        <f>SUM(C15:E15)</f>
        <v/>
      </c>
    </row>
    <row r="17" ht="15" customHeight="1" s="39">
      <c r="B17" s="43" t="inlineStr">
        <is>
          <t>Finanzierung</t>
        </is>
      </c>
    </row>
    <row r="19" ht="15" customHeight="1" s="39">
      <c r="B19" s="45" t="inlineStr">
        <is>
          <t>Kapitalbedarf (Pre-Seed)</t>
        </is>
      </c>
      <c r="C19" s="47">
        <f>Kapital!C7</f>
        <v/>
      </c>
    </row>
    <row r="20" ht="15" customHeight="1" s="39">
      <c r="B20" s="45" t="inlineStr">
        <is>
          <t>Runway (Monate)</t>
        </is>
      </c>
      <c r="C20" s="50">
        <f>Kapital!C9</f>
        <v/>
      </c>
    </row>
    <row r="21" ht="15" customHeight="1" s="39">
      <c r="B21" s="45" t="inlineStr">
        <is>
          <t>Break-Even-Quartal</t>
        </is>
      </c>
      <c r="C21" s="51" t="inlineStr">
        <is>
          <t>Q2 2028</t>
        </is>
      </c>
    </row>
    <row r="22" ht="15" customHeight="1" s="39">
      <c r="B22" s="45" t="inlineStr">
        <is>
          <t>LTV je Kunde</t>
        </is>
      </c>
      <c r="C22" s="47">
        <f>Annahmen!E34</f>
        <v/>
      </c>
    </row>
    <row r="23" ht="15" customHeight="1" s="39">
      <c r="B23" s="45" t="inlineStr">
        <is>
          <t>CAC je Kunde</t>
        </is>
      </c>
      <c r="C23" s="47">
        <f>Annahmen!E35</f>
        <v/>
      </c>
    </row>
    <row r="24" ht="15" customHeight="1" s="39">
      <c r="B24" s="45" t="inlineStr">
        <is>
          <t>LTV:CAC-Verhältnis</t>
        </is>
      </c>
      <c r="C24" s="52">
        <f>C22/C23</f>
        <v/>
      </c>
    </row>
    <row r="27" ht="15" customHeight="1" s="39">
      <c r="B27" s="43" t="inlineStr">
        <is>
          <t>Farbkonventionen</t>
        </is>
      </c>
    </row>
    <row r="28" ht="15" customHeight="1" s="39">
      <c r="B28" s="53" t="inlineStr">
        <is>
          <t>Blau = Annahme (Input)</t>
        </is>
      </c>
    </row>
    <row r="29" ht="15" customHeight="1" s="39">
      <c r="B29" s="54" t="inlineStr">
        <is>
          <t>Schwarz = Formel</t>
        </is>
      </c>
    </row>
    <row r="30" ht="15" customHeight="1" s="39">
      <c r="B30" s="55" t="inlineStr">
        <is>
          <t>Grün = Verweis auf Sheet</t>
        </is>
      </c>
    </row>
    <row r="31" ht="15" customHeight="1" s="39">
      <c r="B31" s="56" t="inlineStr">
        <is>
          <t>Gelber Hintergrund = Schlüssel-Annahme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5" customWidth="1" style="38" min="2" max="2"/>
    <col width="15" customWidth="1" style="38" min="3" max="5"/>
    <col width="45" customWidth="1" style="38" min="6" max="6"/>
  </cols>
  <sheetData>
    <row r="2" ht="22.05" customHeight="1" s="39">
      <c r="B2" s="41" t="inlineStr">
        <is>
          <t>Annahmen &amp; Parameter</t>
        </is>
      </c>
    </row>
    <row r="3" ht="15" customHeight="1" s="39">
      <c r="B3" s="42" t="inlineStr">
        <is>
          <t>Alle blauen Werte = Input-Zellen. Gelb = Schlüssel-Annahmen.</t>
        </is>
      </c>
    </row>
    <row r="5" ht="15" customHeight="1" s="39">
      <c r="C5" s="44" t="inlineStr">
        <is>
          <t>2026</t>
        </is>
      </c>
      <c r="D5" s="44" t="inlineStr">
        <is>
          <t>2027</t>
        </is>
      </c>
      <c r="E5" s="44" t="inlineStr">
        <is>
          <t>2028</t>
        </is>
      </c>
      <c r="F5" s="57" t="inlineStr">
        <is>
          <t>Quelle / Begründung</t>
        </is>
      </c>
    </row>
    <row r="7" ht="15" customHeight="1" s="39">
      <c r="B7" s="43" t="inlineStr">
        <is>
          <t>Kunden &amp; Nachfrage</t>
        </is>
      </c>
    </row>
    <row r="8" ht="15" customHeight="1" s="39">
      <c r="B8" s="45" t="inlineStr">
        <is>
          <t>Neukunden (brutto)</t>
        </is>
      </c>
      <c r="C8" s="58" t="n">
        <v>500</v>
      </c>
      <c r="D8" s="58" t="n">
        <v>1300</v>
      </c>
      <c r="E8" s="58" t="n">
        <v>2200</v>
      </c>
      <c r="F8" s="38" t="inlineStr">
        <is>
          <t>Frankfurt / +Köln Q2'27 / +Düsseldorf Q4'27</t>
        </is>
      </c>
    </row>
    <row r="9" ht="15" customHeight="1" s="39">
      <c r="B9" s="48" t="inlineStr">
        <is>
          <t>Churn pro Jahr</t>
        </is>
      </c>
      <c r="C9" s="59" t="n">
        <v>0.08</v>
      </c>
      <c r="D9" s="59" t="n">
        <v>0.1</v>
      </c>
      <c r="E9" s="59" t="n">
        <v>0.12</v>
      </c>
      <c r="F9" s="38" t="inlineStr">
        <is>
          <t>Pflege-Dauer ~28 Monate (konservativ)</t>
        </is>
      </c>
    </row>
    <row r="10" ht="15" customHeight="1" s="39">
      <c r="B10" s="48" t="inlineStr">
        <is>
          <t>Ø Buchungsstunden / Kunde / Monat</t>
        </is>
      </c>
      <c r="C10" s="60" t="n">
        <v>6</v>
      </c>
      <c r="D10" s="60" t="n">
        <v>6.5</v>
      </c>
      <c r="E10" s="60" t="n">
        <v>7</v>
      </c>
      <c r="F10" s="38" t="inlineStr">
        <is>
          <t>1,5 Termine/Woche à 1h</t>
        </is>
      </c>
    </row>
    <row r="11" ht="15" customHeight="1" s="39">
      <c r="B11" s="48" t="inlineStr">
        <is>
          <t>Ø Fahrten / Fahrtkunde / Monat</t>
        </is>
      </c>
      <c r="C11" s="60" t="n">
        <v>8</v>
      </c>
      <c r="D11" s="60" t="n">
        <v>8</v>
      </c>
      <c r="E11" s="60" t="n">
        <v>8</v>
      </c>
      <c r="F11" s="38" t="inlineStr">
        <is>
          <t>Dialyse 3x/Woche Hin+Zurück</t>
        </is>
      </c>
    </row>
    <row r="12" ht="15" customHeight="1" s="39">
      <c r="B12" s="48" t="inlineStr">
        <is>
          <t>Anteil Kunden mit Fahrten</t>
        </is>
      </c>
      <c r="C12" s="59" t="n">
        <v>0.25</v>
      </c>
      <c r="D12" s="59" t="n">
        <v>0.28</v>
      </c>
      <c r="E12" s="59" t="n">
        <v>0.3</v>
      </c>
      <c r="F12" s="38" t="inlineStr">
        <is>
          <t>Schwerpflegebedürftige</t>
        </is>
      </c>
    </row>
    <row r="13" ht="15" customHeight="1" s="39">
      <c r="B13" s="48" t="inlineStr">
        <is>
          <t>Anteil Kunden mit Pflegebox</t>
        </is>
      </c>
      <c r="C13" s="59" t="n">
        <v>0.4</v>
      </c>
      <c r="D13" s="59" t="n">
        <v>0.45</v>
      </c>
      <c r="E13" s="59" t="n">
        <v>0.5</v>
      </c>
      <c r="F13" s="38" t="inlineStr">
        <is>
          <t>Pflegegrad 1+, ProCare-Partnerschaft</t>
        </is>
      </c>
    </row>
    <row r="14" ht="15" customHeight="1" s="39">
      <c r="B14" s="48" t="inlineStr">
        <is>
          <t>Anteil Premium-Abo</t>
        </is>
      </c>
      <c r="C14" s="59" t="n">
        <v>0.05</v>
      </c>
      <c r="D14" s="59" t="n">
        <v>0.08</v>
      </c>
      <c r="E14" s="59" t="n">
        <v>0.1</v>
      </c>
      <c r="F14" s="38" t="inlineStr">
        <is>
          <t>Familien mit persönlichem Care-Manager</t>
        </is>
      </c>
    </row>
    <row r="16" ht="15" customHeight="1" s="39">
      <c r="B16" s="43" t="inlineStr">
        <is>
          <t>Preise &amp; Margen</t>
        </is>
      </c>
    </row>
    <row r="17" ht="15" customHeight="1" s="39">
      <c r="B17" s="48" t="inlineStr">
        <is>
          <t>Alltagshilfe Stundensatz (€/h, §45b)</t>
        </is>
      </c>
      <c r="C17" s="61" t="n">
        <v>32.5</v>
      </c>
      <c r="D17" s="61" t="n">
        <v>32.5</v>
      </c>
      <c r="E17" s="61" t="n">
        <v>33.5</v>
      </c>
      <c r="F17" s="38" t="inlineStr">
        <is>
          <t>Kassensatz §45b Hessen/NRW</t>
        </is>
      </c>
    </row>
    <row r="18" ht="15" customHeight="1" s="39">
      <c r="B18" s="48" t="inlineStr">
        <is>
          <t>Engel-Vergütung (€/h)</t>
        </is>
      </c>
      <c r="C18" s="62" t="n">
        <v>25</v>
      </c>
      <c r="D18" s="62" t="n">
        <v>25</v>
      </c>
      <c r="E18" s="62" t="n">
        <v>26</v>
      </c>
      <c r="F18" s="38" t="inlineStr">
        <is>
          <t>Überdurchschnittlich, Differenzierung</t>
        </is>
      </c>
    </row>
    <row r="19" ht="15" customHeight="1" s="39">
      <c r="B19" s="45" t="inlineStr">
        <is>
          <t>Marge Alltagshilfe (€/h)</t>
        </is>
      </c>
      <c r="C19" s="63">
        <f>C17-C18</f>
        <v/>
      </c>
      <c r="D19" s="63">
        <f>D17-D18</f>
        <v/>
      </c>
      <c r="E19" s="63">
        <f>E17-E18</f>
        <v/>
      </c>
      <c r="F19" s="38" t="inlineStr">
        <is>
          <t>Kassensatz − Engel-Vergütung</t>
        </is>
      </c>
    </row>
    <row r="20" ht="15" customHeight="1" s="39">
      <c r="B20" s="48" t="inlineStr">
        <is>
          <t>Fahrt Erstattung (€/Fahrt)</t>
        </is>
      </c>
      <c r="C20" s="62" t="n">
        <v>32</v>
      </c>
      <c r="D20" s="62" t="n">
        <v>32</v>
      </c>
      <c r="E20" s="62" t="n">
        <v>33</v>
      </c>
      <c r="F20" s="38" t="inlineStr">
        <is>
          <t>Ø einfache Fahrt Dialyse innerstädtisch</t>
        </is>
      </c>
    </row>
    <row r="21" ht="15" customHeight="1" s="39">
      <c r="B21" s="48" t="inlineStr">
        <is>
          <t>Fahrer-Vergütung (€/Fahrt)</t>
        </is>
      </c>
      <c r="C21" s="62" t="n">
        <v>24</v>
      </c>
      <c r="D21" s="62" t="n">
        <v>24</v>
      </c>
      <c r="E21" s="62" t="n">
        <v>24.5</v>
      </c>
      <c r="F21" s="38" t="inlineStr">
        <is>
          <t>~8 € AE-Marge je Fahrt</t>
        </is>
      </c>
    </row>
    <row r="22" ht="15" customHeight="1" s="39">
      <c r="B22" s="48" t="inlineStr">
        <is>
          <t>Pflegebox Umsatz (€/Box, §40)</t>
        </is>
      </c>
      <c r="C22" s="62" t="n">
        <v>42</v>
      </c>
      <c r="D22" s="62" t="n">
        <v>42</v>
      </c>
      <c r="E22" s="62" t="n">
        <v>42</v>
      </c>
      <c r="F22" s="38" t="inlineStr">
        <is>
          <t>§40-Pauschale SGB XI (gesetzlich fix)</t>
        </is>
      </c>
    </row>
    <row r="23" ht="15" customHeight="1" s="39">
      <c r="B23" s="48" t="inlineStr">
        <is>
          <t>Marge pro Box (€)</t>
        </is>
      </c>
      <c r="C23" s="62" t="n">
        <v>12</v>
      </c>
      <c r="D23" s="62" t="n">
        <v>12</v>
      </c>
      <c r="E23" s="62" t="n">
        <v>12</v>
      </c>
      <c r="F23" s="38" t="inlineStr">
        <is>
          <t>ProCare-Partnerschaft, COGS ~30 €</t>
        </is>
      </c>
    </row>
    <row r="24" ht="15" customHeight="1" s="39">
      <c r="B24" s="48" t="inlineStr">
        <is>
          <t>Premium-Abo (€/Monat)</t>
        </is>
      </c>
      <c r="C24" s="62" t="n">
        <v>39</v>
      </c>
      <c r="D24" s="62" t="n">
        <v>39</v>
      </c>
      <c r="E24" s="62" t="n">
        <v>39</v>
      </c>
      <c r="F24" s="38" t="inlineStr">
        <is>
          <t>29–49 € Range, Mittelwert</t>
        </is>
      </c>
    </row>
    <row r="26" ht="15" customHeight="1" s="39">
      <c r="B26" s="43" t="inlineStr">
        <is>
          <t>Operative Kosten</t>
        </is>
      </c>
    </row>
    <row r="27" ht="15" customHeight="1" s="39">
      <c r="B27" s="48" t="inlineStr">
        <is>
          <t>Gehälter / Jahr (€)</t>
        </is>
      </c>
      <c r="C27" s="64" t="n">
        <v>210000</v>
      </c>
      <c r="D27" s="64" t="n">
        <v>490000</v>
      </c>
      <c r="E27" s="64" t="n">
        <v>770000</v>
      </c>
      <c r="F27" s="38" t="inlineStr">
        <is>
          <t>Gründer + 5 Hires gestaffelt → 7 FTE 2027 → 9 FTE 2028 (inkl. AG-Anteil)</t>
        </is>
      </c>
    </row>
    <row r="28" ht="15" customHeight="1" s="39">
      <c r="B28" s="48" t="inlineStr">
        <is>
          <t>Marketing / Jahr (€)</t>
        </is>
      </c>
      <c r="C28" s="64" t="n">
        <v>180000</v>
      </c>
      <c r="D28" s="64" t="n">
        <v>420000</v>
      </c>
      <c r="E28" s="64" t="n">
        <v>550000</v>
      </c>
      <c r="F28" s="38" t="inlineStr">
        <is>
          <t>Performance, Content, Ärzte-Empfehlungen</t>
        </is>
      </c>
    </row>
    <row r="29" ht="15" customHeight="1" s="39">
      <c r="B29" s="48" t="inlineStr">
        <is>
          <t>Infrastruktur &amp; Tools (€)</t>
        </is>
      </c>
      <c r="C29" s="64" t="n">
        <v>36000</v>
      </c>
      <c r="D29" s="64" t="n">
        <v>72000</v>
      </c>
      <c r="E29" s="64" t="n">
        <v>120000</v>
      </c>
      <c r="F29" s="38" t="inlineStr">
        <is>
          <t>Supabase, Vercel, Stripe, Sentry, Monitoring</t>
        </is>
      </c>
    </row>
    <row r="30" ht="15" customHeight="1" s="39">
      <c r="B30" s="48" t="inlineStr">
        <is>
          <t>Recht, Compliance, Versicherung (€)</t>
        </is>
      </c>
      <c r="C30" s="64" t="n">
        <v>72000</v>
      </c>
      <c r="D30" s="64" t="n">
        <v>90000</v>
      </c>
      <c r="E30" s="64" t="n">
        <v>110000</v>
      </c>
      <c r="F30" s="38" t="inlineStr">
        <is>
          <t>§45a/§45b Zulassung, DSGVO-Audits</t>
        </is>
      </c>
    </row>
    <row r="31" ht="15" customHeight="1" s="39">
      <c r="B31" s="48" t="inlineStr">
        <is>
          <t>Overhead &amp; Sonstiges (€)</t>
        </is>
      </c>
      <c r="C31" s="64" t="n">
        <v>85000</v>
      </c>
      <c r="D31" s="64" t="n">
        <v>155000</v>
      </c>
      <c r="E31" s="64" t="n">
        <v>210000</v>
      </c>
      <c r="F31" s="38" t="inlineStr">
        <is>
          <t>Büro/Co-Working, Firmenwagen, Recht, Notar, Versicherung, Buchhaltung, Reisen</t>
        </is>
      </c>
    </row>
    <row r="33" ht="15" customHeight="1" s="39">
      <c r="B33" s="43" t="inlineStr">
        <is>
          <t>Unit Economics</t>
        </is>
      </c>
    </row>
    <row r="34" ht="15" customHeight="1" s="39">
      <c r="B34" s="45" t="inlineStr">
        <is>
          <t>LTV je Kunde (€)</t>
        </is>
      </c>
      <c r="C34" s="65">
        <f>((C19*C10 + (C20-C21)*C11*C12 + C23*C13 + C24*0.8*C14) * 28)</f>
        <v/>
      </c>
      <c r="D34" s="65">
        <f>((D19*D10 + (D20-D21)*D11*D12 + D23*D13 + D24*0.8*D14) * 28)</f>
        <v/>
      </c>
      <c r="E34" s="65">
        <f>((E19*E10 + (E20-E21)*E11*E12 + E23*E13 + E24*0.8*E14) * 28)</f>
        <v/>
      </c>
      <c r="F34" s="38" t="inlineStr">
        <is>
          <t>Ø Lebensdauer 28 Monate × Bruttomarge/Monat</t>
        </is>
      </c>
    </row>
    <row r="35" ht="15" customHeight="1" s="39">
      <c r="B35" s="45" t="inlineStr">
        <is>
          <t>CAC je Kunde (€)</t>
        </is>
      </c>
      <c r="C35" s="65">
        <f>C28/C8</f>
        <v/>
      </c>
      <c r="D35" s="65">
        <f>D28/D8</f>
        <v/>
      </c>
      <c r="E35" s="65">
        <f>E28/E8</f>
        <v/>
      </c>
      <c r="F35" s="38" t="inlineStr">
        <is>
          <t>Marketing / Neukunden</t>
        </is>
      </c>
    </row>
    <row r="36" ht="15" customHeight="1" s="39">
      <c r="B36" s="45" t="inlineStr">
        <is>
          <t>LTV:CAC</t>
        </is>
      </c>
      <c r="C36" s="66">
        <f>C34/C35</f>
        <v/>
      </c>
      <c r="D36" s="66">
        <f>D34/D35</f>
        <v/>
      </c>
      <c r="E36" s="66">
        <f>E34/E35</f>
        <v/>
      </c>
      <c r="F36" s="38" t="inlineStr">
        <is>
          <t>Zielkorridor &gt; 3x</t>
        </is>
      </c>
    </row>
    <row r="37" ht="15" customHeight="1" s="39">
      <c r="B37" s="48" t="inlineStr">
        <is>
          <t>Payback-Periode (Monate)</t>
        </is>
      </c>
      <c r="C37" s="67">
        <f>C35/((C19*C10 + (C20-C21)*C11*C12 + C23*C13 + C24*0.8*C14))</f>
        <v/>
      </c>
      <c r="D37" s="67">
        <f>D35/((D19*D10 + (D20-D21)*D11*D12 + D23*D13 + D24*0.8*D14))</f>
        <v/>
      </c>
      <c r="E37" s="67">
        <f>E35/((E19*E10 + (E20-E21)*E11*E12 + E23*E13 + E24*0.8*E14))</f>
        <v/>
      </c>
      <c r="F37" s="38" t="inlineStr">
        <is>
          <t>CAC / Bruttomarge pro Monat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0" customWidth="1" style="38" min="2" max="2"/>
    <col width="16" customWidth="1" style="38" min="3" max="5"/>
  </cols>
  <sheetData>
    <row r="2" ht="22.05" customHeight="1" s="39">
      <c r="B2" s="41" t="inlineStr">
        <is>
          <t>Umsatz-Projektion</t>
        </is>
      </c>
    </row>
    <row r="3" ht="15" customHeight="1" s="39">
      <c r="B3" s="42" t="inlineStr">
        <is>
          <t>Kunden-Kohorten und vier Einnahmeströme</t>
        </is>
      </c>
    </row>
    <row r="4" ht="15" customHeight="1" s="39">
      <c r="B4" s="48" t="inlineStr">
        <is>
          <t>Kunden (Anfang)</t>
        </is>
      </c>
      <c r="C4" s="68" t="n">
        <v>0</v>
      </c>
      <c r="D4" s="68">
        <f>C5</f>
        <v/>
      </c>
      <c r="E4" s="68">
        <f>D5</f>
        <v/>
      </c>
    </row>
    <row r="5" ht="15" customHeight="1" s="39">
      <c r="B5" s="45" t="inlineStr">
        <is>
          <t>Kunden (Ende Jahr)</t>
        </is>
      </c>
      <c r="C5" s="69">
        <f>C4+Annahmen!C8-C4*Annahmen!C9</f>
        <v/>
      </c>
      <c r="D5" s="69">
        <f>D4+Annahmen!D8-D4*Annahmen!D9</f>
        <v/>
      </c>
      <c r="E5" s="69">
        <f>E4+Annahmen!E8-E4*Annahmen!E9</f>
        <v/>
      </c>
    </row>
    <row r="6" ht="15" customHeight="1" s="39">
      <c r="B6" s="48" t="inlineStr">
        <is>
          <t>Ø Kunden im Jahr</t>
        </is>
      </c>
      <c r="C6" s="68">
        <f>(C4+C5)/2</f>
        <v/>
      </c>
      <c r="D6" s="68">
        <f>(D4+D5)/2</f>
        <v/>
      </c>
      <c r="E6" s="68">
        <f>(E4+E5)/2</f>
        <v/>
      </c>
    </row>
    <row r="7" ht="15" customHeight="1" s="39">
      <c r="B7" s="48" t="inlineStr">
        <is>
          <t>Aktive Engel (Ende)</t>
        </is>
      </c>
      <c r="C7" s="68">
        <f>ROUNDUP(C5/8,0)</f>
        <v/>
      </c>
      <c r="D7" s="68">
        <f>ROUNDUP(D5/8,0)</f>
        <v/>
      </c>
      <c r="E7" s="68">
        <f>ROUNDUP(E5/8,0)</f>
        <v/>
      </c>
    </row>
    <row r="8" ht="15" customHeight="1" s="39">
      <c r="B8" s="48" t="inlineStr">
        <is>
          <t>Buchungen/Jahr = Ø Kunden × Stunden/Monat × 12</t>
        </is>
      </c>
    </row>
    <row r="9" ht="15" customHeight="1" s="39">
      <c r="B9" s="45" t="inlineStr">
        <is>
          <t>Buchungen/Jahr</t>
        </is>
      </c>
      <c r="C9" s="68">
        <f>C6*Annahmen!C10*12</f>
        <v/>
      </c>
      <c r="D9" s="68">
        <f>D6*Annahmen!D10*12</f>
        <v/>
      </c>
      <c r="E9" s="68">
        <f>E6*Annahmen!E10*12</f>
        <v/>
      </c>
    </row>
    <row r="11" ht="15" customHeight="1" s="39">
      <c r="B11" s="43" t="inlineStr">
        <is>
          <t>Umsatz nach Einnahmestrom</t>
        </is>
      </c>
    </row>
    <row r="13" ht="15" customHeight="1" s="39">
      <c r="B13" s="45" t="inlineStr">
        <is>
          <t>Stream 1: Alltagshilfe (§45b)</t>
        </is>
      </c>
      <c r="C13" s="65">
        <f>C9*Annahmen!C17</f>
        <v/>
      </c>
      <c r="D13" s="65">
        <f>D9*Annahmen!D17</f>
        <v/>
      </c>
      <c r="E13" s="65">
        <f>E9*Annahmen!E17</f>
        <v/>
      </c>
    </row>
    <row r="14" ht="15" customHeight="1" s="39">
      <c r="B14" s="45" t="inlineStr">
        <is>
          <t>Stream 2: Krankenfahrten</t>
        </is>
      </c>
      <c r="C14" s="65">
        <f>C6*Annahmen!C12*Annahmen!C11*12*Annahmen!C20</f>
        <v/>
      </c>
      <c r="D14" s="65">
        <f>D6*Annahmen!D12*Annahmen!D11*12*Annahmen!D20</f>
        <v/>
      </c>
      <c r="E14" s="65">
        <f>E6*Annahmen!E12*Annahmen!E11*12*Annahmen!E20</f>
        <v/>
      </c>
    </row>
    <row r="15" ht="15" customHeight="1" s="39">
      <c r="B15" s="45" t="inlineStr">
        <is>
          <t>Stream 3: Pflegeboxen (§40)</t>
        </is>
      </c>
      <c r="C15" s="65">
        <f>C6*Annahmen!C13*Annahmen!C22*12</f>
        <v/>
      </c>
      <c r="D15" s="65">
        <f>D6*Annahmen!D13*Annahmen!D22*12</f>
        <v/>
      </c>
      <c r="E15" s="65">
        <f>E6*Annahmen!E13*Annahmen!E22*12</f>
        <v/>
      </c>
    </row>
    <row r="16" ht="15" customHeight="1" s="39">
      <c r="B16" s="45" t="inlineStr">
        <is>
          <t>Stream 4: Premium-Abo</t>
        </is>
      </c>
      <c r="C16" s="65">
        <f>C6*Annahmen!C14*Annahmen!C24*12</f>
        <v/>
      </c>
      <c r="D16" s="65">
        <f>D6*Annahmen!D14*Annahmen!D24*12</f>
        <v/>
      </c>
      <c r="E16" s="65">
        <f>E6*Annahmen!E14*Annahmen!E24*12</f>
        <v/>
      </c>
    </row>
    <row r="18" ht="15" customHeight="1" s="39">
      <c r="B18" s="45" t="inlineStr">
        <is>
          <t>Gesamt-Umsatz</t>
        </is>
      </c>
      <c r="C18" s="70">
        <f>SUM(C13:C16)</f>
        <v/>
      </c>
      <c r="D18" s="70">
        <f>SUM(D13:D16)</f>
        <v/>
      </c>
      <c r="E18" s="70">
        <f>SUM(E13:E16)</f>
        <v/>
      </c>
    </row>
    <row r="20" ht="15" customHeight="1" s="39">
      <c r="B20" s="43" t="inlineStr">
        <is>
          <t>Umsatz-Mix</t>
        </is>
      </c>
    </row>
    <row r="21" ht="15" customHeight="1" s="39">
      <c r="B21" s="48" t="inlineStr">
        <is>
          <t>Alltagshilfe</t>
        </is>
      </c>
      <c r="C21" s="71">
        <f>C13/C18</f>
        <v/>
      </c>
      <c r="D21" s="71">
        <f>D13/D18</f>
        <v/>
      </c>
      <c r="E21" s="71">
        <f>E13/E18</f>
        <v/>
      </c>
    </row>
    <row r="22" ht="15" customHeight="1" s="39">
      <c r="B22" s="48" t="inlineStr">
        <is>
          <t>Krankenfahrten</t>
        </is>
      </c>
      <c r="C22" s="71">
        <f>C14/C18</f>
        <v/>
      </c>
      <c r="D22" s="71">
        <f>D14/D18</f>
        <v/>
      </c>
      <c r="E22" s="71">
        <f>E14/E18</f>
        <v/>
      </c>
    </row>
    <row r="23" ht="15" customHeight="1" s="39">
      <c r="B23" s="48" t="inlineStr">
        <is>
          <t>Pflegeboxen</t>
        </is>
      </c>
      <c r="C23" s="71">
        <f>C15/C18</f>
        <v/>
      </c>
      <c r="D23" s="71">
        <f>D15/D18</f>
        <v/>
      </c>
      <c r="E23" s="71">
        <f>E15/E18</f>
        <v/>
      </c>
    </row>
    <row r="24" ht="15" customHeight="1" s="39">
      <c r="B24" s="48" t="inlineStr">
        <is>
          <t>Premium-Abo</t>
        </is>
      </c>
      <c r="C24" s="71">
        <f>C16/C18</f>
        <v/>
      </c>
      <c r="D24" s="71">
        <f>D16/D18</f>
        <v/>
      </c>
      <c r="E24" s="71">
        <f>E16/E18</f>
        <v/>
      </c>
    </row>
    <row r="26" ht="15" customHeight="1" s="39">
      <c r="B26" s="45" t="inlineStr">
        <is>
          <t>ARPU (€/Kunde/Monat)</t>
        </is>
      </c>
      <c r="C26" s="65">
        <f>C18/C6/12</f>
        <v/>
      </c>
      <c r="D26" s="65">
        <f>D18/D6/12</f>
        <v/>
      </c>
      <c r="E26" s="65">
        <f>E18/E6/12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0" customWidth="1" style="38" min="2" max="2"/>
    <col width="16" customWidth="1" style="38" min="3" max="5"/>
  </cols>
  <sheetData>
    <row r="2" ht="22.05" customHeight="1" s="39">
      <c r="B2" s="41" t="inlineStr">
        <is>
          <t>Kosten-Projektion</t>
        </is>
      </c>
    </row>
    <row r="3" ht="15" customHeight="1" s="39">
      <c r="B3" s="42" t="inlineStr">
        <is>
          <t>COGS + OPEX nach Kategorie</t>
        </is>
      </c>
    </row>
    <row r="5" ht="15" customHeight="1" s="39">
      <c r="C5" s="44" t="inlineStr">
        <is>
          <t>2026</t>
        </is>
      </c>
      <c r="D5" s="44" t="inlineStr">
        <is>
          <t>2027</t>
        </is>
      </c>
      <c r="E5" s="44" t="inlineStr">
        <is>
          <t>2028</t>
        </is>
      </c>
    </row>
    <row r="7" ht="15" customHeight="1" s="39">
      <c r="B7" s="43" t="inlineStr">
        <is>
          <t>Variable Kosten (COGS)</t>
        </is>
      </c>
    </row>
    <row r="8" ht="15" customHeight="1" s="39">
      <c r="B8" s="48" t="inlineStr">
        <is>
          <t>Engel-Vergütung (Alltagshilfe)</t>
        </is>
      </c>
      <c r="C8" s="65">
        <f>Umsatz!C9*Annahmen!C18</f>
        <v/>
      </c>
      <c r="D8" s="65">
        <f>Umsatz!D9*Annahmen!D18</f>
        <v/>
      </c>
      <c r="E8" s="65">
        <f>Umsatz!E9*Annahmen!E18</f>
        <v/>
      </c>
    </row>
    <row r="9" ht="15" customHeight="1" s="39">
      <c r="B9" s="48" t="inlineStr">
        <is>
          <t>Fahrer-Vergütung</t>
        </is>
      </c>
      <c r="C9" s="65">
        <f>Umsatz!C6*Annahmen!C12*Annahmen!C11*12*Annahmen!C21</f>
        <v/>
      </c>
      <c r="D9" s="65">
        <f>Umsatz!D6*Annahmen!D12*Annahmen!D11*12*Annahmen!D21</f>
        <v/>
      </c>
      <c r="E9" s="65">
        <f>Umsatz!E6*Annahmen!E12*Annahmen!E11*12*Annahmen!E21</f>
        <v/>
      </c>
    </row>
    <row r="10" ht="15" customHeight="1" s="39">
      <c r="B10" s="48" t="inlineStr">
        <is>
          <t>Pflegeboxen COGS (ProCare)</t>
        </is>
      </c>
      <c r="C10" s="65">
        <f>Umsatz!C6*Annahmen!C13*12*(Annahmen!C22-Annahmen!C23)</f>
        <v/>
      </c>
      <c r="D10" s="65">
        <f>Umsatz!D6*Annahmen!D13*12*(Annahmen!D22-Annahmen!D23)</f>
        <v/>
      </c>
      <c r="E10" s="65">
        <f>Umsatz!E6*Annahmen!E13*12*(Annahmen!E22-Annahmen!E23)</f>
        <v/>
      </c>
    </row>
    <row r="11" ht="15" customHeight="1" s="39">
      <c r="B11" s="48" t="inlineStr">
        <is>
          <t>Payment-Processing (1,5 % Umsatz)</t>
        </is>
      </c>
      <c r="C11" s="65">
        <f>Umsatz!C18*0.015</f>
        <v/>
      </c>
      <c r="D11" s="65">
        <f>Umsatz!D18*0.015</f>
        <v/>
      </c>
      <c r="E11" s="65">
        <f>Umsatz!E18*0.015</f>
        <v/>
      </c>
    </row>
    <row r="12" ht="15" customHeight="1" s="39">
      <c r="B12" s="45" t="inlineStr">
        <is>
          <t>COGS gesamt</t>
        </is>
      </c>
      <c r="C12" s="70">
        <f>SUM(C8:C11)</f>
        <v/>
      </c>
      <c r="D12" s="70">
        <f>SUM(D8:D11)</f>
        <v/>
      </c>
      <c r="E12" s="70">
        <f>SUM(E8:E11)</f>
        <v/>
      </c>
    </row>
    <row r="14" ht="15" customHeight="1" s="39">
      <c r="B14" s="45" t="inlineStr">
        <is>
          <t>Bruttogewinn</t>
        </is>
      </c>
      <c r="C14" s="65">
        <f>Umsatz!C18-C12</f>
        <v/>
      </c>
      <c r="D14" s="65">
        <f>Umsatz!D18-D12</f>
        <v/>
      </c>
      <c r="E14" s="65">
        <f>Umsatz!E18-E12</f>
        <v/>
      </c>
    </row>
    <row r="15" ht="15" customHeight="1" s="39">
      <c r="B15" s="48" t="inlineStr">
        <is>
          <t>Bruttomarge</t>
        </is>
      </c>
      <c r="C15" s="71">
        <f>C14/Umsatz!C18</f>
        <v/>
      </c>
      <c r="D15" s="71">
        <f>D14/Umsatz!D18</f>
        <v/>
      </c>
      <c r="E15" s="71">
        <f>E14/Umsatz!E18</f>
        <v/>
      </c>
    </row>
    <row r="17" ht="15" customHeight="1" s="39">
      <c r="B17" s="43" t="inlineStr">
        <is>
          <t>Fixkosten (OPEX)</t>
        </is>
      </c>
    </row>
    <row r="18" ht="15" customHeight="1" s="39">
      <c r="B18" s="48" t="inlineStr">
        <is>
          <t>Personal (Gehälter + Lohnnebenkosten)</t>
        </is>
      </c>
      <c r="C18" s="47">
        <f>Annahmen!C27</f>
        <v/>
      </c>
      <c r="D18" s="47">
        <f>Annahmen!D27</f>
        <v/>
      </c>
      <c r="E18" s="47">
        <f>Annahmen!E27</f>
        <v/>
      </c>
    </row>
    <row r="19" ht="15" customHeight="1" s="39">
      <c r="B19" s="48" t="inlineStr">
        <is>
          <t>Marketing &amp; Kundenakquise</t>
        </is>
      </c>
      <c r="C19" s="47">
        <f>Annahmen!C28</f>
        <v/>
      </c>
      <c r="D19" s="47">
        <f>Annahmen!D28</f>
        <v/>
      </c>
      <c r="E19" s="47">
        <f>Annahmen!E28</f>
        <v/>
      </c>
    </row>
    <row r="20" ht="15" customHeight="1" s="39">
      <c r="B20" s="48" t="inlineStr">
        <is>
          <t>Infrastruktur &amp; SaaS</t>
        </is>
      </c>
      <c r="C20" s="47">
        <f>Annahmen!C29</f>
        <v/>
      </c>
      <c r="D20" s="47">
        <f>Annahmen!D29</f>
        <v/>
      </c>
      <c r="E20" s="47">
        <f>Annahmen!E29</f>
        <v/>
      </c>
    </row>
    <row r="21" ht="15" customHeight="1" s="39">
      <c r="B21" s="48" t="inlineStr">
        <is>
          <t>Recht, Compliance, Versicherung</t>
        </is>
      </c>
      <c r="C21" s="47">
        <f>Annahmen!C30</f>
        <v/>
      </c>
      <c r="D21" s="47">
        <f>Annahmen!D30</f>
        <v/>
      </c>
      <c r="E21" s="47">
        <f>Annahmen!E30</f>
        <v/>
      </c>
    </row>
    <row r="22" ht="15" customHeight="1" s="39">
      <c r="B22" s="48" t="inlineStr">
        <is>
          <t>Overhead &amp; Sonstiges</t>
        </is>
      </c>
      <c r="C22" s="47">
        <f>Annahmen!C31</f>
        <v/>
      </c>
      <c r="D22" s="47">
        <f>Annahmen!D31</f>
        <v/>
      </c>
      <c r="E22" s="47">
        <f>Annahmen!E31</f>
        <v/>
      </c>
    </row>
    <row r="23" ht="15" customHeight="1" s="39">
      <c r="B23" s="45" t="inlineStr">
        <is>
          <t>OPEX gesamt</t>
        </is>
      </c>
      <c r="C23" s="70">
        <f>SUM(C18:C22)</f>
        <v/>
      </c>
      <c r="D23" s="70">
        <f>SUM(D18:D22)</f>
        <v/>
      </c>
      <c r="E23" s="70">
        <f>SUM(E18:E22)</f>
        <v/>
      </c>
    </row>
    <row r="25" ht="15" customHeight="1" s="39">
      <c r="B25" s="45" t="inlineStr">
        <is>
          <t>Kosten gesamt (COGS + OPEX)</t>
        </is>
      </c>
      <c r="C25" s="70">
        <f>C12+C23</f>
        <v/>
      </c>
      <c r="D25" s="70">
        <f>D12+D23</f>
        <v/>
      </c>
      <c r="E25" s="70">
        <f>E12+E23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0" customWidth="1" style="38" min="2" max="2"/>
    <col width="16" customWidth="1" style="38" min="3" max="5"/>
  </cols>
  <sheetData>
    <row r="2" ht="22.05" customHeight="1" s="39">
      <c r="B2" s="41" t="inlineStr">
        <is>
          <t>Gewinn- &amp; Verlust-Rechnung</t>
        </is>
      </c>
    </row>
    <row r="3" ht="15" customHeight="1" s="39">
      <c r="B3" s="42" t="inlineStr">
        <is>
          <t>3-Jahres-Projektion</t>
        </is>
      </c>
    </row>
    <row r="5" ht="15" customHeight="1" s="39">
      <c r="C5" s="44" t="inlineStr">
        <is>
          <t>2026</t>
        </is>
      </c>
      <c r="D5" s="44" t="inlineStr">
        <is>
          <t>2027</t>
        </is>
      </c>
      <c r="E5" s="44" t="inlineStr">
        <is>
          <t>2028</t>
        </is>
      </c>
    </row>
    <row r="7" ht="15" customHeight="1" s="39">
      <c r="B7" s="43" t="inlineStr">
        <is>
          <t>Umsatz</t>
        </is>
      </c>
    </row>
    <row r="8" ht="15" customHeight="1" s="39">
      <c r="B8" s="72" t="inlineStr">
        <is>
          <t xml:space="preserve">  Alltagshilfe §45b</t>
        </is>
      </c>
      <c r="C8" s="47">
        <f>Umsatz!C13</f>
        <v/>
      </c>
      <c r="D8" s="47">
        <f>Umsatz!D13</f>
        <v/>
      </c>
      <c r="E8" s="47">
        <f>Umsatz!E13</f>
        <v/>
      </c>
    </row>
    <row r="9" ht="15" customHeight="1" s="39">
      <c r="B9" s="72" t="inlineStr">
        <is>
          <t xml:space="preserve">  Krankenfahrten</t>
        </is>
      </c>
      <c r="C9" s="47">
        <f>Umsatz!C14</f>
        <v/>
      </c>
      <c r="D9" s="47">
        <f>Umsatz!D14</f>
        <v/>
      </c>
      <c r="E9" s="47">
        <f>Umsatz!E14</f>
        <v/>
      </c>
    </row>
    <row r="10" ht="15" customHeight="1" s="39">
      <c r="B10" s="72" t="inlineStr">
        <is>
          <t xml:space="preserve">  Pflegeboxen §40</t>
        </is>
      </c>
      <c r="C10" s="47">
        <f>Umsatz!C15</f>
        <v/>
      </c>
      <c r="D10" s="47">
        <f>Umsatz!D15</f>
        <v/>
      </c>
      <c r="E10" s="47">
        <f>Umsatz!E15</f>
        <v/>
      </c>
    </row>
    <row r="11" ht="15" customHeight="1" s="39">
      <c r="B11" s="72" t="inlineStr">
        <is>
          <t xml:space="preserve">  Premium-Abo</t>
        </is>
      </c>
      <c r="C11" s="47">
        <f>Umsatz!C16</f>
        <v/>
      </c>
      <c r="D11" s="47">
        <f>Umsatz!D16</f>
        <v/>
      </c>
      <c r="E11" s="47">
        <f>Umsatz!E16</f>
        <v/>
      </c>
    </row>
    <row r="12" ht="15" customHeight="1" s="39">
      <c r="B12" s="45" t="inlineStr">
        <is>
          <t>Umsatz gesamt</t>
        </is>
      </c>
      <c r="C12" s="70">
        <f>SUM(C8:C11)</f>
        <v/>
      </c>
      <c r="D12" s="70">
        <f>SUM(D8:D11)</f>
        <v/>
      </c>
      <c r="E12" s="70">
        <f>SUM(E8:E11)</f>
        <v/>
      </c>
    </row>
    <row r="14" ht="15" customHeight="1" s="39">
      <c r="B14" s="43" t="inlineStr">
        <is>
          <t>Variable Kosten</t>
        </is>
      </c>
    </row>
    <row r="15" ht="15" customHeight="1" s="39">
      <c r="B15" s="72" t="inlineStr">
        <is>
          <t xml:space="preserve">  COGS</t>
        </is>
      </c>
      <c r="C15" s="47">
        <f>-Kosten!C12</f>
        <v/>
      </c>
      <c r="D15" s="47">
        <f>-Kosten!D12</f>
        <v/>
      </c>
      <c r="E15" s="47">
        <f>-Kosten!E12</f>
        <v/>
      </c>
    </row>
    <row r="16" ht="15" customHeight="1" s="39">
      <c r="B16" s="45" t="inlineStr">
        <is>
          <t>Bruttogewinn</t>
        </is>
      </c>
      <c r="C16" s="70">
        <f>C12+C15</f>
        <v/>
      </c>
      <c r="D16" s="70">
        <f>D12+D15</f>
        <v/>
      </c>
      <c r="E16" s="70">
        <f>E12+E15</f>
        <v/>
      </c>
    </row>
    <row r="17" ht="15" customHeight="1" s="39">
      <c r="B17" s="48" t="inlineStr">
        <is>
          <t>Bruttomarge %</t>
        </is>
      </c>
      <c r="C17" s="71">
        <f>C16/C12</f>
        <v/>
      </c>
      <c r="D17" s="71">
        <f>D16/D12</f>
        <v/>
      </c>
      <c r="E17" s="71">
        <f>E16/E12</f>
        <v/>
      </c>
    </row>
    <row r="19" ht="15" customHeight="1" s="39">
      <c r="B19" s="43" t="inlineStr">
        <is>
          <t>Fixkosten (OPEX)</t>
        </is>
      </c>
    </row>
    <row r="20" ht="15" customHeight="1" s="39">
      <c r="B20" s="72" t="inlineStr">
        <is>
          <t xml:space="preserve">  Personal</t>
        </is>
      </c>
      <c r="C20" s="47">
        <f>-Annahmen!C27</f>
        <v/>
      </c>
      <c r="D20" s="47">
        <f>-Annahmen!D27</f>
        <v/>
      </c>
      <c r="E20" s="47">
        <f>-Annahmen!E27</f>
        <v/>
      </c>
    </row>
    <row r="21" ht="15" customHeight="1" s="39">
      <c r="B21" s="72" t="inlineStr">
        <is>
          <t xml:space="preserve">  Marketing</t>
        </is>
      </c>
      <c r="C21" s="47">
        <f>-Annahmen!C28</f>
        <v/>
      </c>
      <c r="D21" s="47">
        <f>-Annahmen!D28</f>
        <v/>
      </c>
      <c r="E21" s="47">
        <f>-Annahmen!E28</f>
        <v/>
      </c>
    </row>
    <row r="22" ht="15" customHeight="1" s="39">
      <c r="B22" s="72" t="inlineStr">
        <is>
          <t xml:space="preserve">  Infrastruktur</t>
        </is>
      </c>
      <c r="C22" s="47">
        <f>-Annahmen!C29</f>
        <v/>
      </c>
      <c r="D22" s="47">
        <f>-Annahmen!D29</f>
        <v/>
      </c>
      <c r="E22" s="47">
        <f>-Annahmen!E29</f>
        <v/>
      </c>
    </row>
    <row r="23" ht="15" customHeight="1" s="39">
      <c r="B23" s="72" t="inlineStr">
        <is>
          <t xml:space="preserve">  Recht &amp; Compliance</t>
        </is>
      </c>
      <c r="C23" s="47">
        <f>-Annahmen!C30</f>
        <v/>
      </c>
      <c r="D23" s="47">
        <f>-Annahmen!D30</f>
        <v/>
      </c>
      <c r="E23" s="47">
        <f>-Annahmen!E30</f>
        <v/>
      </c>
    </row>
    <row r="24" ht="15" customHeight="1" s="39">
      <c r="B24" s="72" t="inlineStr">
        <is>
          <t xml:space="preserve">  Overhead</t>
        </is>
      </c>
      <c r="C24" s="47">
        <f>-Annahmen!C31</f>
        <v/>
      </c>
      <c r="D24" s="47">
        <f>-Annahmen!D31</f>
        <v/>
      </c>
      <c r="E24" s="47">
        <f>-Annahmen!E31</f>
        <v/>
      </c>
    </row>
    <row r="25" ht="15" customHeight="1" s="39">
      <c r="B25" s="45" t="inlineStr">
        <is>
          <t>EBITDA</t>
        </is>
      </c>
      <c r="C25" s="70">
        <f>C16+SUM(C20:C24)</f>
        <v/>
      </c>
      <c r="D25" s="70">
        <f>D16+SUM(D20:D24)</f>
        <v/>
      </c>
      <c r="E25" s="70">
        <f>E16+SUM(E20:E24)</f>
        <v/>
      </c>
    </row>
    <row r="26" ht="15" customHeight="1" s="39">
      <c r="B26" s="48" t="inlineStr">
        <is>
          <t>EBITDA-Marge %</t>
        </is>
      </c>
      <c r="C26" s="71">
        <f>C25/C12</f>
        <v/>
      </c>
      <c r="D26" s="71">
        <f>D25/D12</f>
        <v/>
      </c>
      <c r="E26" s="71">
        <f>E25/E12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0" customWidth="1" style="38" min="2" max="2"/>
    <col width="16" customWidth="1" style="38" min="3" max="5"/>
  </cols>
  <sheetData>
    <row r="2" ht="22.05" customHeight="1" s="39">
      <c r="B2" s="41" t="inlineStr">
        <is>
          <t>Cashflow-Projektion</t>
        </is>
      </c>
    </row>
    <row r="3" ht="15" customHeight="1" s="39">
      <c r="B3" s="42" t="inlineStr">
        <is>
          <t>Operative, Investive &amp; Finanzierungs-Cashflows</t>
        </is>
      </c>
    </row>
    <row r="5" ht="15" customHeight="1" s="39">
      <c r="C5" s="44" t="inlineStr">
        <is>
          <t>2026</t>
        </is>
      </c>
      <c r="D5" s="44" t="inlineStr">
        <is>
          <t>2027</t>
        </is>
      </c>
      <c r="E5" s="44" t="inlineStr">
        <is>
          <t>2028</t>
        </is>
      </c>
    </row>
    <row r="7" ht="15" customHeight="1" s="39">
      <c r="B7" s="43" t="inlineStr">
        <is>
          <t>Operativer Cashflow</t>
        </is>
      </c>
    </row>
    <row r="8" ht="15" customHeight="1" s="39">
      <c r="B8" s="72" t="inlineStr">
        <is>
          <t xml:space="preserve">  EBITDA</t>
        </is>
      </c>
      <c r="C8" s="47">
        <f>'P&amp;L'!C25</f>
        <v/>
      </c>
      <c r="D8" s="47">
        <f>'P&amp;L'!D25</f>
        <v/>
      </c>
      <c r="E8" s="47">
        <f>'P&amp;L'!E25</f>
        <v/>
      </c>
    </row>
    <row r="9" ht="15" customHeight="1" s="39">
      <c r="B9" s="72" t="inlineStr">
        <is>
          <t xml:space="preserve">  Working-Capital-Änderung (Kassen-Payment-Delay)</t>
        </is>
      </c>
      <c r="C9" s="65">
        <f>-('P&amp;L'!C12-0)*0.05</f>
        <v/>
      </c>
      <c r="D9" s="65">
        <f>-('P&amp;L'!D12-'P&amp;L'!C12)*0.05</f>
        <v/>
      </c>
      <c r="E9" s="65">
        <f>-('P&amp;L'!E12-'P&amp;L'!D12)*0.05</f>
        <v/>
      </c>
    </row>
    <row r="11" ht="15" customHeight="1" s="39">
      <c r="B11" s="43" t="inlineStr">
        <is>
          <t>Investiver Cashflow</t>
        </is>
      </c>
    </row>
    <row r="12" ht="15" customHeight="1" s="39">
      <c r="B12" s="72" t="inlineStr">
        <is>
          <t xml:space="preserve">  CapEx (Technik, Equipment)</t>
        </is>
      </c>
      <c r="C12" s="64" t="n">
        <v>-45000</v>
      </c>
      <c r="D12" s="64" t="n">
        <v>-60000</v>
      </c>
      <c r="E12" s="64" t="n">
        <v>-80000</v>
      </c>
    </row>
    <row r="14" ht="15" customHeight="1" s="39">
      <c r="B14" s="45" t="inlineStr">
        <is>
          <t>Cash-Burn (vor Finanzierung)</t>
        </is>
      </c>
      <c r="C14" s="70">
        <f>C8+C9+C12</f>
        <v/>
      </c>
      <c r="D14" s="70">
        <f>D8+D9+D12</f>
        <v/>
      </c>
      <c r="E14" s="70">
        <f>E8+E9+E12</f>
        <v/>
      </c>
    </row>
    <row r="16" ht="15" customHeight="1" s="39">
      <c r="B16" s="43" t="inlineStr">
        <is>
          <t>Finanzierungs-Cashflow</t>
        </is>
      </c>
    </row>
    <row r="17" ht="15" customHeight="1" s="39">
      <c r="B17" s="72" t="inlineStr">
        <is>
          <t xml:space="preserve">  Eigenkapital (Pre-Seed)</t>
        </is>
      </c>
      <c r="C17" s="73" t="n">
        <v>1000000</v>
      </c>
      <c r="D17" s="73" t="n">
        <v>0</v>
      </c>
      <c r="E17" s="73" t="n">
        <v>0</v>
      </c>
    </row>
    <row r="18" ht="15" customHeight="1" s="39">
      <c r="B18" s="72" t="inlineStr">
        <is>
          <t xml:space="preserve">  Eigenkapital (Seed-Runde)</t>
        </is>
      </c>
      <c r="C18" s="64" t="n">
        <v>0</v>
      </c>
      <c r="D18" s="64" t="n">
        <v>2500000</v>
      </c>
      <c r="E18" s="64" t="n">
        <v>0</v>
      </c>
    </row>
    <row r="20" ht="15" customHeight="1" s="39">
      <c r="B20" s="45" t="inlineStr">
        <is>
          <t>Netto-Cashflow</t>
        </is>
      </c>
      <c r="C20" s="70">
        <f>C14+C17+C18</f>
        <v/>
      </c>
      <c r="D20" s="70">
        <f>D14+D17+D18</f>
        <v/>
      </c>
      <c r="E20" s="70">
        <f>E14+E17+E18</f>
        <v/>
      </c>
    </row>
    <row r="22" ht="15" customHeight="1" s="39">
      <c r="B22" s="48" t="inlineStr">
        <is>
          <t>Kasse (Jahresanfang)</t>
        </is>
      </c>
      <c r="C22" s="65" t="n">
        <v>0</v>
      </c>
      <c r="D22" s="65">
        <f>C23</f>
        <v/>
      </c>
      <c r="E22" s="65">
        <f>D23</f>
        <v/>
      </c>
    </row>
    <row r="23" ht="15" customHeight="1" s="39">
      <c r="B23" s="45" t="inlineStr">
        <is>
          <t>Kasse (Jahresende)</t>
        </is>
      </c>
      <c r="C23" s="70">
        <f>C22+C20</f>
        <v/>
      </c>
      <c r="D23" s="70">
        <f>D22+D20</f>
        <v/>
      </c>
      <c r="E23" s="70">
        <f>E22+E20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2" customWidth="1" style="38" min="2" max="2"/>
    <col width="16" customWidth="1" style="38" min="3" max="4"/>
    <col width="10" customWidth="1" style="39" min="4" max="4"/>
    <col width="65" customWidth="1" style="38" min="5" max="5"/>
  </cols>
  <sheetData>
    <row r="2" ht="22.05" customHeight="1" s="39">
      <c r="B2" s="41" t="inlineStr">
        <is>
          <t>Kapitalbedarf &amp; Use-of-Funds</t>
        </is>
      </c>
    </row>
    <row r="3" ht="15" customHeight="1" s="39">
      <c r="B3" s="42" t="inlineStr">
        <is>
          <t>Pre-Seed Runde Q2 2026 — 18 Monate Runway</t>
        </is>
      </c>
    </row>
    <row r="6" ht="15" customHeight="1" s="39">
      <c r="B6" s="43" t="inlineStr">
        <is>
          <t>Pre-Seed Runde</t>
        </is>
      </c>
    </row>
    <row r="7" ht="15" customHeight="1" s="39">
      <c r="B7" s="45" t="inlineStr">
        <is>
          <t>Kapitalbedarf</t>
        </is>
      </c>
      <c r="C7" s="73" t="n">
        <v>1000000</v>
      </c>
    </row>
    <row r="8" ht="15" customHeight="1" s="39">
      <c r="B8" s="48" t="inlineStr">
        <is>
          <t>Monatlicher Burn-Rate (Ø)</t>
        </is>
      </c>
      <c r="C8" s="65">
        <f>-(Cashflow!C14)/12</f>
        <v/>
      </c>
    </row>
    <row r="9" ht="15" customHeight="1" s="39">
      <c r="B9" s="45" t="inlineStr">
        <is>
          <t>Runway (Monate)</t>
        </is>
      </c>
      <c r="C9" s="67">
        <f>C7/C8</f>
        <v/>
      </c>
    </row>
    <row r="11" ht="15" customHeight="1" s="39">
      <c r="B11" s="43" t="inlineStr">
        <is>
          <t>Use-of-Funds (1,0 Mio €)</t>
        </is>
      </c>
    </row>
    <row r="13" ht="15" customHeight="1" s="39">
      <c r="B13" s="74" t="inlineStr">
        <is>
          <t>Kategorie</t>
        </is>
      </c>
      <c r="C13" s="74" t="inlineStr">
        <is>
          <t>Betrag (€)</t>
        </is>
      </c>
      <c r="D13" s="74" t="inlineStr">
        <is>
          <t>Anteil</t>
        </is>
      </c>
      <c r="E13" s="74" t="inlineStr">
        <is>
          <t>Zweck</t>
        </is>
      </c>
    </row>
    <row r="14" ht="15" customHeight="1" s="39">
      <c r="B14" s="75" t="inlineStr">
        <is>
          <t>Team-Aufbau (4 Hires, gestaffelt)</t>
        </is>
      </c>
      <c r="C14" s="76" t="n">
        <v>380000</v>
      </c>
      <c r="D14" s="77">
        <f>C14/$C$7</f>
        <v/>
      </c>
      <c r="E14" s="78" t="inlineStr">
        <is>
          <t>Head of Ops, 2× Care-Manager, Growth, Partner (all-in inkl. AG-Anteil)</t>
        </is>
      </c>
    </row>
    <row r="15" ht="15" customHeight="1" s="39">
      <c r="B15" s="75" t="inlineStr">
        <is>
          <t>Gründer-Gehalt (Yusuf F. Demir, CEO/CTO)</t>
        </is>
      </c>
      <c r="C15" s="76" t="n">
        <v>108000</v>
      </c>
      <c r="D15" s="77">
        <f>C15/$C$7</f>
        <v/>
      </c>
      <c r="E15" s="78" t="inlineStr">
        <is>
          <t>6.000 €/Monat brutto × 18 Monate (marktüblich Pre-Seed)</t>
        </is>
      </c>
    </row>
    <row r="16" ht="15" customHeight="1" s="39">
      <c r="B16" s="75" t="inlineStr">
        <is>
          <t>Marketing &amp; Vertrieb</t>
        </is>
      </c>
      <c r="C16" s="76" t="n">
        <v>220000</v>
      </c>
      <c r="D16" s="77">
        <f>C16/$C$7</f>
        <v/>
      </c>
      <c r="E16" s="78" t="inlineStr">
        <is>
          <t>Paid Social, SEO, Apotheken-Kooperationen, PR-Events, Content</t>
        </is>
      </c>
    </row>
    <row r="17" ht="15" customHeight="1" s="39">
      <c r="B17" s="75" t="inlineStr">
        <is>
          <t>Geografische Expansion</t>
        </is>
      </c>
      <c r="C17" s="76" t="n">
        <v>110000</v>
      </c>
      <c r="D17" s="77">
        <f>C17/$C$7</f>
        <v/>
      </c>
      <c r="E17" s="78" t="inlineStr">
        <is>
          <t>Köln-Launch Q1/2027 + Düsseldorf-Launch Q3/2027</t>
        </is>
      </c>
    </row>
    <row r="18" ht="15" customHeight="1" s="39">
      <c r="B18" s="75" t="inlineStr">
        <is>
          <t>Technologie &amp; Infrastruktur</t>
        </is>
      </c>
      <c r="C18" s="76" t="n">
        <v>60000</v>
      </c>
      <c r="D18" s="77">
        <f>C18/$C$7</f>
        <v/>
      </c>
      <c r="E18" s="78" t="inlineStr">
        <is>
          <t>Vercel/Supabase, Kassen-APIs, DSGVO-Audit, Sentry-Monitoring</t>
        </is>
      </c>
    </row>
    <row r="19" ht="15" customHeight="1" s="39">
      <c r="B19" s="75" t="inlineStr">
        <is>
          <t>Recht, Notar, Versicherung, Buchhaltung</t>
        </is>
      </c>
      <c r="C19" s="76" t="n">
        <v>32000</v>
      </c>
      <c r="D19" s="77">
        <f>C19/$C$7</f>
        <v/>
      </c>
      <c r="E19" s="78" t="inlineStr">
        <is>
          <t>GmbH-Umwandlung, D&amp;O-Police, Betriebshaftpflicht, StB</t>
        </is>
      </c>
    </row>
    <row r="20">
      <c r="B20" s="79" t="inlineStr">
        <is>
          <t>Büro &amp; Co-Working</t>
        </is>
      </c>
      <c r="C20" s="80" t="n">
        <v>22000</v>
      </c>
      <c r="D20" s="81">
        <f>C20/$C$7</f>
        <v/>
      </c>
      <c r="E20" s="78" t="inlineStr">
        <is>
          <t>WeWork/Mindspace FFM + Satellit Köln/Düsseldorf</t>
        </is>
      </c>
    </row>
    <row r="21" ht="15" customHeight="1" s="39">
      <c r="B21" s="75" t="inlineStr">
        <is>
          <t>Firmenwagen</t>
        </is>
      </c>
      <c r="C21" s="82" t="n">
        <v>18000</v>
      </c>
      <c r="D21" s="83">
        <f>C21/$C$7</f>
        <v/>
      </c>
      <c r="E21" s="78" t="inlineStr">
        <is>
          <t>Leasing Mittelklasse + Versicherung + Sprit (18 Mon., 3-Städte-Betreuung)</t>
        </is>
      </c>
    </row>
    <row r="22">
      <c r="B22" s="79" t="inlineStr">
        <is>
          <t>Puffer (Unvorhergesehenes)</t>
        </is>
      </c>
      <c r="C22" s="80" t="n">
        <v>50000</v>
      </c>
      <c r="D22" s="81">
        <f>C22/$C$7</f>
        <v/>
      </c>
      <c r="E22" s="78" t="inlineStr">
        <is>
          <t>Reserve für verzögerte Hires, Kassen-Verhandlung, Sonder-Audits</t>
        </is>
      </c>
    </row>
    <row r="23">
      <c r="B23" s="84" t="inlineStr">
        <is>
          <t>Gesamt</t>
        </is>
      </c>
      <c r="C23" s="85">
        <f>SUM(C14:C22)</f>
        <v/>
      </c>
      <c r="D23" s="86">
        <f>SUM(D14:D22)</f>
        <v/>
      </c>
      <c r="E23" s="87" t="inlineStr">
        <is>
          <t>18 Monate Runway bis Seed-Runde Q4/2027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38" min="1" max="1"/>
    <col width="40" customWidth="1" style="38" min="2" max="2"/>
    <col width="18" customWidth="1" style="38" min="3" max="6"/>
  </cols>
  <sheetData>
    <row r="2" ht="22.05" customHeight="1" s="39">
      <c r="B2" s="41" t="inlineStr">
        <is>
          <t>Sensitivitäts-Analyse</t>
        </is>
      </c>
    </row>
    <row r="3" ht="15" customHeight="1" s="39">
      <c r="B3" s="42" t="inlineStr">
        <is>
          <t>Drei Szenarien: Pessimistisch / Base Case / Optimistisch</t>
        </is>
      </c>
    </row>
    <row r="5" ht="15" customHeight="1" s="39">
      <c r="B5" s="57" t="inlineStr">
        <is>
          <t>Szenario</t>
        </is>
      </c>
      <c r="C5" s="44" t="inlineStr">
        <is>
          <t>Pessimistisch</t>
        </is>
      </c>
      <c r="D5" s="44" t="inlineStr">
        <is>
          <t>Base Case</t>
        </is>
      </c>
      <c r="E5" s="44" t="inlineStr">
        <is>
          <t>Optimistisch</t>
        </is>
      </c>
    </row>
    <row r="7" ht="15" customHeight="1" s="39">
      <c r="B7" s="43" t="inlineStr">
        <is>
          <t>Schlüssel-Treiber</t>
        </is>
      </c>
    </row>
    <row r="8" ht="15" customHeight="1" s="39">
      <c r="B8" s="48" t="inlineStr">
        <is>
          <t>Neukunden 2026</t>
        </is>
      </c>
      <c r="C8" s="88" t="n">
        <v>350</v>
      </c>
      <c r="D8" s="88" t="n">
        <v>500</v>
      </c>
      <c r="E8" s="88" t="n">
        <v>700</v>
      </c>
    </row>
    <row r="9" ht="15" customHeight="1" s="39">
      <c r="B9" s="48" t="inlineStr">
        <is>
          <t>Neukunden 2027</t>
        </is>
      </c>
      <c r="C9" s="88" t="n">
        <v>900</v>
      </c>
      <c r="D9" s="88" t="n">
        <v>1300</v>
      </c>
      <c r="E9" s="88" t="n">
        <v>1700</v>
      </c>
    </row>
    <row r="10" ht="15" customHeight="1" s="39">
      <c r="B10" s="48" t="inlineStr">
        <is>
          <t>Neukunden 2028</t>
        </is>
      </c>
      <c r="C10" s="88" t="n">
        <v>1500</v>
      </c>
      <c r="D10" s="88" t="n">
        <v>2200</v>
      </c>
      <c r="E10" s="88" t="n">
        <v>2900</v>
      </c>
    </row>
    <row r="11" ht="15" customHeight="1" s="39">
      <c r="B11" s="48" t="inlineStr">
        <is>
          <t>Churn p.a.</t>
        </is>
      </c>
      <c r="C11" s="59" t="n">
        <v>0.15</v>
      </c>
      <c r="D11" s="59" t="n">
        <v>0.1</v>
      </c>
      <c r="E11" s="59" t="n">
        <v>0.06</v>
      </c>
    </row>
    <row r="12" ht="15" customHeight="1" s="39">
      <c r="B12" s="48" t="inlineStr">
        <is>
          <t>Stunden/Kunde/Monat</t>
        </is>
      </c>
      <c r="C12" s="60" t="n">
        <v>4.5</v>
      </c>
      <c r="D12" s="60" t="n">
        <v>6.5</v>
      </c>
      <c r="E12" s="60" t="n">
        <v>7.5</v>
      </c>
    </row>
    <row r="13" ht="15" customHeight="1" s="39">
      <c r="B13" s="48" t="inlineStr">
        <is>
          <t>Anteil Fahrtkunden</t>
        </is>
      </c>
      <c r="C13" s="59" t="n">
        <v>0.18</v>
      </c>
      <c r="D13" s="59" t="n">
        <v>0.28</v>
      </c>
      <c r="E13" s="59" t="n">
        <v>0.35</v>
      </c>
    </row>
    <row r="15" ht="15" customHeight="1" s="39">
      <c r="B15" s="43" t="inlineStr">
        <is>
          <t>Ergebnis 2028</t>
        </is>
      </c>
    </row>
    <row r="16" ht="15" customHeight="1" s="39">
      <c r="B16" s="45" t="inlineStr">
        <is>
          <t>Umsatz 2028</t>
        </is>
      </c>
      <c r="C16" s="65">
        <f>D16*0.55</f>
        <v/>
      </c>
      <c r="D16" s="65">
        <f>Umsatz!E18</f>
        <v/>
      </c>
      <c r="E16" s="65">
        <f>D16*1.45</f>
        <v/>
      </c>
    </row>
    <row r="17" ht="15" customHeight="1" s="39">
      <c r="B17" s="45" t="inlineStr">
        <is>
          <t>EBITDA 2028</t>
        </is>
      </c>
      <c r="C17" s="65">
        <f>D17-1800000</f>
        <v/>
      </c>
      <c r="D17" s="65">
        <f>'P&amp;L'!E25</f>
        <v/>
      </c>
      <c r="E17" s="65">
        <f>D17+2200000</f>
        <v/>
      </c>
    </row>
    <row r="18" ht="15" customHeight="1" s="39">
      <c r="B18" s="48" t="inlineStr">
        <is>
          <t>EBITDA-Marge 2028</t>
        </is>
      </c>
      <c r="C18" s="71">
        <f>C17/C16</f>
        <v/>
      </c>
      <c r="D18" s="71">
        <f>D17/D16</f>
        <v/>
      </c>
      <c r="E18" s="71">
        <f>E17/E16</f>
        <v/>
      </c>
    </row>
    <row r="20" ht="15" customHeight="1" s="39">
      <c r="B20" s="45" t="inlineStr">
        <is>
          <t>Break-Even-Quartal</t>
        </is>
      </c>
      <c r="C20" s="89" t="inlineStr">
        <is>
          <t>Q4 2028</t>
        </is>
      </c>
      <c r="D20" s="89" t="inlineStr">
        <is>
          <t>Q2 2028</t>
        </is>
      </c>
      <c r="E20" s="89" t="inlineStr">
        <is>
          <t>Q4 2027</t>
        </is>
      </c>
    </row>
    <row r="21" ht="15" customHeight="1" s="39">
      <c r="B21" s="48" t="inlineStr">
        <is>
          <t>Kapitalbedarf (Seed-Folgerunde)</t>
        </is>
      </c>
      <c r="C21" s="64" t="n">
        <v>4500000</v>
      </c>
      <c r="D21" s="64" t="n">
        <v>2500000</v>
      </c>
      <c r="E21" s="64" t="n">
        <v>1500000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26"/>
  <sheetViews>
    <sheetView workbookViewId="0">
      <selection activeCell="A1" sqref="A1"/>
    </sheetView>
  </sheetViews>
  <sheetFormatPr baseColWidth="8" defaultRowHeight="15"/>
  <cols>
    <col width="55" customWidth="1" style="39" min="2" max="2"/>
    <col width="14" customWidth="1" style="39" min="3" max="3"/>
    <col width="14" customWidth="1" style="39" min="4" max="4"/>
    <col width="18" customWidth="1" style="39" min="5" max="5"/>
    <col width="18" customWidth="1" style="39" min="6" max="6"/>
  </cols>
  <sheetData>
    <row r="2">
      <c r="B2" s="90" t="inlineStr">
        <is>
          <t>Personal-Plan Detail (18 Monate Pre-Seed)</t>
        </is>
      </c>
    </row>
    <row r="3">
      <c r="B3" s="91" t="inlineStr">
        <is>
          <t>Alle Kosten all-in inkl. Arbeitgeber-Anteil Sozialversicherung (~22 %)</t>
        </is>
      </c>
    </row>
    <row r="5">
      <c r="B5" s="74" t="inlineStr">
        <is>
          <t>Position</t>
        </is>
      </c>
      <c r="C5" s="74" t="inlineStr">
        <is>
          <t>Start</t>
        </is>
      </c>
      <c r="D5" s="74" t="inlineStr">
        <is>
          <t>Brutto/Jahr</t>
        </is>
      </c>
      <c r="E5" s="74" t="inlineStr">
        <is>
          <t>Laufzeit (Mon)</t>
        </is>
      </c>
      <c r="F5" s="74" t="inlineStr">
        <is>
          <t>Kosten all-in (€)</t>
        </is>
      </c>
    </row>
    <row r="6">
      <c r="B6" s="79" t="inlineStr">
        <is>
          <t>Gründer (Yusuf F. Demir, CEO/CTO)</t>
        </is>
      </c>
      <c r="C6" s="79" t="inlineStr">
        <is>
          <t>Q2 2026</t>
        </is>
      </c>
      <c r="D6" s="79" t="inlineStr">
        <is>
          <t>72.000 €</t>
        </is>
      </c>
      <c r="E6" s="79" t="n">
        <v>18</v>
      </c>
      <c r="F6" s="80" t="n">
        <v>108000</v>
      </c>
    </row>
    <row r="7">
      <c r="B7" s="79" t="inlineStr">
        <is>
          <t>Care-Manager 1 (Frankfurt)</t>
        </is>
      </c>
      <c r="C7" s="79" t="inlineStr">
        <is>
          <t>Q2 2026</t>
        </is>
      </c>
      <c r="D7" s="79" t="inlineStr">
        <is>
          <t>48.000 €</t>
        </is>
      </c>
      <c r="E7" s="79" t="n">
        <v>16</v>
      </c>
      <c r="F7" s="80" t="n">
        <v>78000</v>
      </c>
    </row>
    <row r="8">
      <c r="B8" s="79" t="inlineStr">
        <is>
          <t>Head of Operations</t>
        </is>
      </c>
      <c r="C8" s="79" t="inlineStr">
        <is>
          <t>Q3 2026</t>
        </is>
      </c>
      <c r="D8" s="79" t="inlineStr">
        <is>
          <t>70.000 €</t>
        </is>
      </c>
      <c r="E8" s="79" t="n">
        <v>15</v>
      </c>
      <c r="F8" s="80" t="n">
        <v>107000</v>
      </c>
    </row>
    <row r="9">
      <c r="B9" s="79" t="inlineStr">
        <is>
          <t>Growth Marketer</t>
        </is>
      </c>
      <c r="C9" s="79" t="inlineStr">
        <is>
          <t>Q3 2026</t>
        </is>
      </c>
      <c r="D9" s="79" t="inlineStr">
        <is>
          <t>58.000 €</t>
        </is>
      </c>
      <c r="E9" s="79" t="n">
        <v>15</v>
      </c>
      <c r="F9" s="80" t="n">
        <v>88000</v>
      </c>
    </row>
    <row r="10">
      <c r="B10" s="79" t="inlineStr">
        <is>
          <t>Care-Manager 2 (Köln)</t>
        </is>
      </c>
      <c r="C10" s="79" t="inlineStr">
        <is>
          <t>Q1 2027</t>
        </is>
      </c>
      <c r="D10" s="79" t="inlineStr">
        <is>
          <t>48.000 €</t>
        </is>
      </c>
      <c r="E10" s="79" t="n">
        <v>9</v>
      </c>
      <c r="F10" s="80" t="n">
        <v>44000</v>
      </c>
    </row>
    <row r="11">
      <c r="B11" s="79" t="inlineStr">
        <is>
          <t>Partner-Manager (Kassen, B2B)</t>
        </is>
      </c>
      <c r="C11" s="79" t="inlineStr">
        <is>
          <t>Q3 2027</t>
        </is>
      </c>
      <c r="D11" s="79" t="inlineStr">
        <is>
          <t>60.000 €</t>
        </is>
      </c>
      <c r="E11" s="79" t="n">
        <v>6</v>
      </c>
      <c r="F11" s="80" t="n">
        <v>37000</v>
      </c>
    </row>
    <row r="12">
      <c r="B12" s="79" t="inlineStr">
        <is>
          <t>Freelancer-Puffer (Recht, Design, DevOps)</t>
        </is>
      </c>
      <c r="C12" s="79" t="inlineStr">
        <is>
          <t>laufend</t>
        </is>
      </c>
      <c r="D12" s="79" t="inlineStr">
        <is>
          <t>—</t>
        </is>
      </c>
      <c r="E12" s="79" t="n">
        <v>18</v>
      </c>
      <c r="F12" s="80" t="n">
        <v>26000</v>
      </c>
    </row>
    <row r="13">
      <c r="B13" s="84" t="inlineStr">
        <is>
          <t>Personal-Summe (inkl. Gründer)</t>
        </is>
      </c>
      <c r="F13" s="85">
        <f>SUM(F6:F12)</f>
        <v/>
      </c>
    </row>
    <row r="16">
      <c r="B16" s="90" t="inlineStr">
        <is>
          <t>Nicht-Personal-Kosten (18 Monate)</t>
        </is>
      </c>
    </row>
    <row r="18">
      <c r="B18" s="92" t="inlineStr">
        <is>
          <t>Kategorie</t>
        </is>
      </c>
      <c r="C18" s="92" t="inlineStr">
        <is>
          <t>Monatlich (€)</t>
        </is>
      </c>
      <c r="D18" s="92" t="inlineStr">
        <is>
          <t>Laufzeit (Mon)</t>
        </is>
      </c>
      <c r="E18" s="92" t="inlineStr">
        <is>
          <t>Gesamt (€)</t>
        </is>
      </c>
      <c r="F18" s="92" t="inlineStr">
        <is>
          <t>Kommentar</t>
        </is>
      </c>
    </row>
    <row r="19">
      <c r="B19" s="79" t="inlineStr">
        <is>
          <t>Büro (Co-Working FFM, später Satellit Köln/Düsseldorf)</t>
        </is>
      </c>
      <c r="C19" s="80" t="n">
        <v>1222</v>
      </c>
      <c r="D19" s="79" t="n">
        <v>18</v>
      </c>
      <c r="E19" s="80" t="n">
        <v>22000</v>
      </c>
      <c r="F19" s="79" t="inlineStr">
        <is>
          <t>Mindspace-Pass 3-4 Plätze, später kleiner Satellit</t>
        </is>
      </c>
    </row>
    <row r="20">
      <c r="B20" s="79" t="inlineStr">
        <is>
          <t>Firmenwagen (Leasing Mittelklasse)</t>
        </is>
      </c>
      <c r="C20" s="80" t="n">
        <v>550</v>
      </c>
      <c r="D20" s="79" t="n">
        <v>18</v>
      </c>
      <c r="E20" s="80" t="n">
        <v>10000</v>
      </c>
      <c r="F20" s="79" t="inlineStr">
        <is>
          <t>VW Passat / Skoda Superb Leasing</t>
        </is>
      </c>
    </row>
    <row r="21">
      <c r="B21" s="79" t="inlineStr">
        <is>
          <t>Firmenwagen (Versicherung)</t>
        </is>
      </c>
      <c r="C21" s="80" t="n">
        <v>220</v>
      </c>
      <c r="D21" s="79" t="n">
        <v>18</v>
      </c>
      <c r="E21" s="80" t="n">
        <v>4000</v>
      </c>
      <c r="F21" s="79" t="inlineStr">
        <is>
          <t>Vollkasko</t>
        </is>
      </c>
    </row>
    <row r="22">
      <c r="B22" s="79" t="inlineStr">
        <is>
          <t>Firmenwagen (Sprit + Wartung)</t>
        </is>
      </c>
      <c r="C22" s="80" t="n">
        <v>222</v>
      </c>
      <c r="D22" s="79" t="n">
        <v>18</v>
      </c>
      <c r="E22" s="80" t="n">
        <v>4000</v>
      </c>
      <c r="F22" s="79" t="inlineStr">
        <is>
          <t>3-Städte-Betreuung NRW/Hessen</t>
        </is>
      </c>
    </row>
    <row r="23">
      <c r="B23" s="79" t="inlineStr">
        <is>
          <t>Steuerberater</t>
        </is>
      </c>
      <c r="C23" s="80" t="n">
        <v>450</v>
      </c>
      <c r="D23" s="79" t="n">
        <v>18</v>
      </c>
      <c r="E23" s="80" t="n">
        <v>8100</v>
      </c>
      <c r="F23" s="79" t="inlineStr">
        <is>
          <t>Monatliche Buchführung + Jahresabschluss</t>
        </is>
      </c>
    </row>
    <row r="24">
      <c r="B24" s="79" t="inlineStr">
        <is>
          <t>Versicherungen (D&amp;O, Betriebshaftpflicht)</t>
        </is>
      </c>
      <c r="C24" s="80" t="n">
        <v>400</v>
      </c>
      <c r="D24" s="79" t="n">
        <v>18</v>
      </c>
      <c r="E24" s="80" t="n">
        <v>7200</v>
      </c>
      <c r="F24" s="79" t="inlineStr">
        <is>
          <t>D&amp;O für GF-Schutz, Betriebshaftpflicht</t>
        </is>
      </c>
    </row>
    <row r="25">
      <c r="B25" s="79" t="inlineStr">
        <is>
          <t>GmbH-Umwandlung + Notar (einmalig)</t>
        </is>
      </c>
      <c r="C25" s="80" t="n">
        <v>0</v>
      </c>
      <c r="D25" s="79" t="n">
        <v>0</v>
      </c>
      <c r="E25" s="80" t="n">
        <v>8000</v>
      </c>
      <c r="F25" s="79" t="inlineStr">
        <is>
          <t>UG → GmbH bei Seed-Runde</t>
        </is>
      </c>
    </row>
    <row r="26">
      <c r="B26" s="79" t="inlineStr">
        <is>
          <t>DSGVO-Audit (jährlich)</t>
        </is>
      </c>
      <c r="C26" s="80" t="n">
        <v>0</v>
      </c>
      <c r="D26" s="79" t="n">
        <v>0</v>
      </c>
      <c r="E26" s="80" t="n">
        <v>8700</v>
      </c>
      <c r="F26" s="79" t="inlineStr">
        <is>
          <t>Externe Anwaltskanzlei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2026-04-20T22:03:27Z</dcterms:created>
  <dcterms:modified xmlns:dcterms="http://purl.org/dc/terms/" xmlns:xsi="http://www.w3.org/2001/XMLSchema-instance" xsi:type="dcterms:W3CDTF">2026-04-22T21:04:46Z</dcterms:modified>
  <cp:revision>0</cp:revision>
</cp:coreProperties>
</file>