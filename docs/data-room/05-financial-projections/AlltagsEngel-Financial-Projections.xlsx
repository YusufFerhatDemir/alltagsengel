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Model" sheetId="1" state="visible" r:id="rId1"/>
    <sheet xmlns:r="http://schemas.openxmlformats.org/officeDocument/2006/relationships" name="P&amp;L Summary" sheetId="2" state="visible" r:id="rId2"/>
    <sheet xmlns:r="http://schemas.openxmlformats.org/officeDocument/2006/relationships" name="Key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sz val="11"/>
      <u val="single"/>
    </font>
    <font>
      <b val="1"/>
    </font>
    <font>
      <color rgb="00000000"/>
    </font>
    <font>
      <color rgb="000000FF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C9963C"/>
        <bgColor rgb="00C9963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3" fontId="6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REVENUE MODEL PROJECTIONS</t>
        </is>
      </c>
    </row>
    <row r="3">
      <c r="A3" s="2" t="inlineStr">
        <is>
          <t>ASSUMPTIONS (Input Values)</t>
        </is>
      </c>
    </row>
    <row r="5">
      <c r="A5" s="3" t="inlineStr">
        <is>
          <t>Commission Rate (%)</t>
        </is>
      </c>
      <c r="B5" s="4" t="n">
        <v>18</v>
      </c>
    </row>
    <row r="6">
      <c r="A6" s="3" t="inlineStr">
        <is>
          <t>Average Booking Value (€)</t>
        </is>
      </c>
      <c r="B6" s="5" t="n">
        <v>35</v>
      </c>
    </row>
    <row r="7">
      <c r="A7" s="3" t="inlineStr">
        <is>
          <t>Average Hours per Booking</t>
        </is>
      </c>
      <c r="B7" s="4" t="n">
        <v>2.5</v>
      </c>
    </row>
    <row r="8">
      <c r="A8" s="3" t="inlineStr">
        <is>
          <t>Sessions per User/Month</t>
        </is>
      </c>
      <c r="B8" s="4" t="n">
        <v>4</v>
      </c>
    </row>
    <row r="9">
      <c r="A9" s="3" t="inlineStr">
        <is>
          <t>Companion Subscription (€/month)</t>
        </is>
      </c>
      <c r="B9" s="4" t="n">
        <v>9.99</v>
      </c>
    </row>
    <row r="12">
      <c r="A12" s="2" t="inlineStr">
        <is>
          <t>REVENUE PROJECTIONS</t>
        </is>
      </c>
    </row>
    <row r="14">
      <c r="A14" s="6" t="inlineStr">
        <is>
          <t>Metric</t>
        </is>
      </c>
      <c r="B14" s="6" t="inlineStr">
        <is>
          <t>Year 1</t>
        </is>
      </c>
      <c r="C14" s="6" t="inlineStr">
        <is>
          <t>Year 2</t>
        </is>
      </c>
      <c r="D14" s="6" t="inlineStr">
        <is>
          <t>Year 3</t>
        </is>
      </c>
      <c r="E14" s="6" t="inlineStr">
        <is>
          <t>Year 4</t>
        </is>
      </c>
      <c r="F14" s="6" t="inlineStr">
        <is>
          <t>Year 5</t>
        </is>
      </c>
    </row>
    <row r="15">
      <c r="A15" t="inlineStr">
        <is>
          <t>Active Users</t>
        </is>
      </c>
      <c r="B15" s="7" t="n">
        <v>500</v>
      </c>
      <c r="C15" s="7" t="n">
        <v>2500</v>
      </c>
      <c r="D15" s="7" t="n">
        <v>10000</v>
      </c>
      <c r="E15" s="7" t="n">
        <v>30000</v>
      </c>
      <c r="F15" s="7" t="n">
        <v>75000</v>
      </c>
    </row>
    <row r="16">
      <c r="A16" t="inlineStr">
        <is>
          <t>Active Companions</t>
        </is>
      </c>
      <c r="B16" s="7" t="n">
        <v>50</v>
      </c>
      <c r="C16" s="7" t="n">
        <v>200</v>
      </c>
      <c r="D16" s="7" t="n">
        <v>800</v>
      </c>
      <c r="E16" s="7" t="n">
        <v>2000</v>
      </c>
      <c r="F16" s="7" t="n">
        <v>5000</v>
      </c>
    </row>
    <row r="18">
      <c r="A18" t="inlineStr">
        <is>
          <t>Commission Revenue</t>
        </is>
      </c>
      <c r="B18" s="8">
        <f>B15*$B$8*$B$6*$B$5/100</f>
        <v/>
      </c>
      <c r="C18" s="8">
        <f>C15*$B$8*$B$6*$B$5/100</f>
        <v/>
      </c>
      <c r="D18" s="8">
        <f>D15*$B$8*$B$6*$B$5/100</f>
        <v/>
      </c>
      <c r="E18" s="8">
        <f>E15*$B$8*$B$6*$B$5/100</f>
        <v/>
      </c>
      <c r="F18" s="8">
        <f>F15*$B$8*$B$6*$B$5/100</f>
        <v/>
      </c>
    </row>
    <row r="19">
      <c r="A19" t="inlineStr">
        <is>
          <t>Subscription Revenue</t>
        </is>
      </c>
      <c r="B19" s="8">
        <f>B16*$B$9*12</f>
        <v/>
      </c>
      <c r="C19" s="8">
        <f>C16*$B$9*12</f>
        <v/>
      </c>
      <c r="D19" s="8">
        <f>D16*$B$9*12</f>
        <v/>
      </c>
      <c r="E19" s="8">
        <f>E16*$B$9*12</f>
        <v/>
      </c>
      <c r="F19" s="8">
        <f>F16*$B$9*12</f>
        <v/>
      </c>
    </row>
    <row r="20">
      <c r="A20" t="inlineStr">
        <is>
          <t>TOTAL REVENUE</t>
        </is>
      </c>
      <c r="B20" s="9">
        <f>B18+B19</f>
        <v/>
      </c>
      <c r="C20" s="9">
        <f>C18+C19</f>
        <v/>
      </c>
      <c r="D20" s="9">
        <f>D18+D19</f>
        <v/>
      </c>
      <c r="E20" s="9">
        <f>E18+E19</f>
        <v/>
      </c>
      <c r="F20" s="9">
        <f>F18+F19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PROFIT &amp; LOSS SUMMARY (5-YEAR PROJECTION)</t>
        </is>
      </c>
    </row>
    <row r="3">
      <c r="A3" s="6" t="inlineStr">
        <is>
          <t>Line Item</t>
        </is>
      </c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</row>
    <row r="4">
      <c r="A4" s="10" t="inlineStr">
        <is>
          <t>REVENUE</t>
        </is>
      </c>
    </row>
    <row r="5">
      <c r="A5" s="3" t="inlineStr">
        <is>
          <t>Commission Revenue</t>
        </is>
      </c>
      <c r="B5" s="8">
        <f>'Revenue Model'!B18</f>
        <v/>
      </c>
      <c r="C5" s="8">
        <f>'Revenue Model'!C18</f>
        <v/>
      </c>
      <c r="D5" s="8">
        <f>'Revenue Model'!D18</f>
        <v/>
      </c>
      <c r="E5" s="8">
        <f>'Revenue Model'!E18</f>
        <v/>
      </c>
      <c r="F5" s="8">
        <f>'Revenue Model'!F18</f>
        <v/>
      </c>
    </row>
    <row r="6">
      <c r="A6" s="3" t="inlineStr">
        <is>
          <t>Subscription Revenue</t>
        </is>
      </c>
      <c r="B6" s="8">
        <f>'Revenue Model'!B19</f>
        <v/>
      </c>
      <c r="C6" s="8">
        <f>'Revenue Model'!C19</f>
        <v/>
      </c>
      <c r="D6" s="8">
        <f>'Revenue Model'!D19</f>
        <v/>
      </c>
      <c r="E6" s="8">
        <f>'Revenue Model'!E19</f>
        <v/>
      </c>
      <c r="F6" s="8">
        <f>'Revenue Model'!F19</f>
        <v/>
      </c>
    </row>
    <row r="7">
      <c r="A7" s="10" t="inlineStr">
        <is>
          <t>Total Revenue</t>
        </is>
      </c>
      <c r="B7" s="9">
        <f>B5+B6</f>
        <v/>
      </c>
      <c r="C7" s="9">
        <f>C5+C6</f>
        <v/>
      </c>
      <c r="D7" s="9">
        <f>D5+D6</f>
        <v/>
      </c>
      <c r="E7" s="9">
        <f>E5+E6</f>
        <v/>
      </c>
      <c r="F7" s="9">
        <f>F5+F6</f>
        <v/>
      </c>
    </row>
    <row r="9">
      <c r="A9" s="10" t="inlineStr">
        <is>
          <t>COST OF GOODS SOLD</t>
        </is>
      </c>
    </row>
    <row r="10">
      <c r="A10" s="3" t="inlineStr">
        <is>
          <t>Insurance Costs (8% of GMV)</t>
        </is>
      </c>
      <c r="B10" s="8">
        <f>(B5/$B$5*100)*0.08</f>
        <v/>
      </c>
      <c r="C10" s="8">
        <f>(C5/$B$5*100)*0.08</f>
        <v/>
      </c>
      <c r="D10" s="8">
        <f>(D5/$B$5*100)*0.08</f>
        <v/>
      </c>
      <c r="E10" s="8">
        <f>(E5/$B$5*100)*0.08</f>
        <v/>
      </c>
      <c r="F10" s="8">
        <f>(F5/$B$5*100)*0.08</f>
        <v/>
      </c>
    </row>
    <row r="11">
      <c r="A11" s="3" t="inlineStr">
        <is>
          <t>Payment Processing (2.5%)</t>
        </is>
      </c>
      <c r="B11" s="8">
        <f>B7*0.025</f>
        <v/>
      </c>
      <c r="C11" s="8">
        <f>C7*0.025</f>
        <v/>
      </c>
      <c r="D11" s="8">
        <f>D7*0.025</f>
        <v/>
      </c>
      <c r="E11" s="8">
        <f>E7*0.025</f>
        <v/>
      </c>
      <c r="F11" s="8">
        <f>F7*0.025</f>
        <v/>
      </c>
    </row>
    <row r="12">
      <c r="A12" s="10" t="inlineStr">
        <is>
          <t>Total COGS</t>
        </is>
      </c>
      <c r="B12" s="9">
        <f>B10+B11</f>
        <v/>
      </c>
      <c r="C12" s="9">
        <f>C10+C11</f>
        <v/>
      </c>
      <c r="D12" s="9">
        <f>D10+D11</f>
        <v/>
      </c>
      <c r="E12" s="9">
        <f>E10+E11</f>
        <v/>
      </c>
      <c r="F12" s="9">
        <f>F10+F11</f>
        <v/>
      </c>
    </row>
    <row r="14">
      <c r="A14" s="10" t="inlineStr">
        <is>
          <t>GROSS PROFIT</t>
        </is>
      </c>
      <c r="B14" s="9">
        <f>B7-B12</f>
        <v/>
      </c>
      <c r="C14" s="9">
        <f>C7-C12</f>
        <v/>
      </c>
      <c r="D14" s="9">
        <f>D7-D12</f>
        <v/>
      </c>
      <c r="E14" s="9">
        <f>E7-E12</f>
        <v/>
      </c>
      <c r="F14" s="9">
        <f>F7-F12</f>
        <v/>
      </c>
    </row>
    <row r="15">
      <c r="A15" s="3" t="inlineStr">
        <is>
          <t>Gross Margin %</t>
        </is>
      </c>
      <c r="B15" s="11">
        <f>B14/B7</f>
        <v/>
      </c>
      <c r="C15" s="11">
        <f>C14/C7</f>
        <v/>
      </c>
      <c r="D15" s="11">
        <f>D14/D7</f>
        <v/>
      </c>
      <c r="E15" s="11">
        <f>E14/E7</f>
        <v/>
      </c>
      <c r="F15" s="11">
        <f>F14/F7</f>
        <v/>
      </c>
    </row>
    <row r="17">
      <c r="A17" s="10" t="inlineStr">
        <is>
          <t>OPERATING EXPENSES</t>
        </is>
      </c>
    </row>
    <row r="18">
      <c r="A18" s="3" t="inlineStr">
        <is>
          <t>Engineering</t>
        </is>
      </c>
      <c r="B18" s="12" t="n">
        <v>150000</v>
      </c>
      <c r="C18" s="12" t="n">
        <v>200000</v>
      </c>
      <c r="D18" s="12" t="n">
        <v>300000</v>
      </c>
      <c r="E18" s="12" t="n">
        <v>400000</v>
      </c>
      <c r="F18" s="12" t="n">
        <v>500000</v>
      </c>
    </row>
    <row r="19">
      <c r="A19" s="3" t="inlineStr">
        <is>
          <t>Marketing &amp; CAC</t>
        </is>
      </c>
      <c r="B19" s="12" t="n">
        <v>100000</v>
      </c>
      <c r="C19" s="12" t="n">
        <v>150000</v>
      </c>
      <c r="D19" s="12" t="n">
        <v>250000</v>
      </c>
      <c r="E19" s="12" t="n">
        <v>400000</v>
      </c>
      <c r="F19" s="12" t="n">
        <v>600000</v>
      </c>
    </row>
    <row r="20">
      <c r="A20" s="3" t="inlineStr">
        <is>
          <t>Operations</t>
        </is>
      </c>
      <c r="B20" s="12" t="n">
        <v>50000</v>
      </c>
      <c r="C20" s="12" t="n">
        <v>80000</v>
      </c>
      <c r="D20" s="12" t="n">
        <v>150000</v>
      </c>
      <c r="E20" s="12" t="n">
        <v>250000</v>
      </c>
      <c r="F20" s="12" t="n">
        <v>400000</v>
      </c>
    </row>
    <row r="21">
      <c r="A21" s="3" t="inlineStr">
        <is>
          <t>General &amp; Administrative</t>
        </is>
      </c>
      <c r="B21" s="12" t="n">
        <v>50000</v>
      </c>
      <c r="C21" s="12" t="n">
        <v>75000</v>
      </c>
      <c r="D21" s="12" t="n">
        <v>120000</v>
      </c>
      <c r="E21" s="12" t="n">
        <v>180000</v>
      </c>
      <c r="F21" s="12" t="n">
        <v>250000</v>
      </c>
    </row>
    <row r="22">
      <c r="A22" s="10" t="inlineStr">
        <is>
          <t>Total OpEx</t>
        </is>
      </c>
      <c r="B22" s="9">
        <f>B18+B19+B20+B21</f>
        <v/>
      </c>
      <c r="C22" s="9">
        <f>C18+C19+C20+C21</f>
        <v/>
      </c>
      <c r="D22" s="9">
        <f>D18+D19+D20+D21</f>
        <v/>
      </c>
      <c r="E22" s="9">
        <f>E18+E19+E20+E21</f>
        <v/>
      </c>
      <c r="F22" s="9">
        <f>F18+F19+F20+F21</f>
        <v/>
      </c>
    </row>
    <row r="24">
      <c r="A24" s="10" t="inlineStr">
        <is>
          <t>EBITDA</t>
        </is>
      </c>
      <c r="B24" s="9">
        <f>B14-B22</f>
        <v/>
      </c>
      <c r="C24" s="9">
        <f>C14-C22</f>
        <v/>
      </c>
      <c r="D24" s="9">
        <f>D14-D22</f>
        <v/>
      </c>
      <c r="E24" s="9">
        <f>E14-E22</f>
        <v/>
      </c>
      <c r="F24" s="9">
        <f>F14-F22</f>
        <v/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KEY METRICS &amp; KPIs (5-YEAR PROJECTION)</t>
        </is>
      </c>
    </row>
    <row r="3">
      <c r="A3" s="6" t="inlineStr">
        <is>
          <t>Metric</t>
        </is>
      </c>
      <c r="B3" s="6" t="inlineStr">
        <is>
          <t>Year 1</t>
        </is>
      </c>
      <c r="C3" s="6" t="inlineStr">
        <is>
          <t>Year 2</t>
        </is>
      </c>
      <c r="D3" s="6" t="inlineStr">
        <is>
          <t>Year 3</t>
        </is>
      </c>
      <c r="E3" s="6" t="inlineStr">
        <is>
          <t>Year 4</t>
        </is>
      </c>
      <c r="F3" s="6" t="inlineStr">
        <is>
          <t>Year 5</t>
        </is>
      </c>
    </row>
    <row r="4">
      <c r="A4" s="10" t="inlineStr">
        <is>
          <t>VOLUME METRICS</t>
        </is>
      </c>
    </row>
    <row r="5">
      <c r="A5" s="3" t="inlineStr">
        <is>
          <t>Gross Merchandise Value (GMV)</t>
        </is>
      </c>
      <c r="B5" s="8">
        <f>'P&amp;L Summary'!B5/$B$5*100</f>
        <v/>
      </c>
      <c r="C5" s="8">
        <f>'P&amp;L Summary'!C5/$B$5*100</f>
        <v/>
      </c>
      <c r="D5" s="8">
        <f>'P&amp;L Summary'!D5/$B$5*100</f>
        <v/>
      </c>
      <c r="E5" s="8">
        <f>'P&amp;L Summary'!E5/$B$5*100</f>
        <v/>
      </c>
      <c r="F5" s="8">
        <f>'P&amp;L Summary'!F5/$B$5*100</f>
        <v/>
      </c>
    </row>
    <row r="6">
      <c r="A6" s="3" t="inlineStr">
        <is>
          <t>Take Rate</t>
        </is>
      </c>
      <c r="B6" s="11" t="inlineStr">
        <is>
          <t>$B$5</t>
        </is>
      </c>
      <c r="C6" s="11" t="inlineStr">
        <is>
          <t>$B$5</t>
        </is>
      </c>
      <c r="D6" s="11" t="inlineStr">
        <is>
          <t>$B$5</t>
        </is>
      </c>
      <c r="E6" s="11" t="inlineStr">
        <is>
          <t>$B$5</t>
        </is>
      </c>
      <c r="F6" s="11" t="inlineStr">
        <is>
          <t>$B$5</t>
        </is>
      </c>
    </row>
    <row r="7">
      <c r="A7" s="3" t="inlineStr">
        <is>
          <t>Active Users</t>
        </is>
      </c>
      <c r="B7" s="13">
        <f>'Revenue Model'!B15</f>
        <v/>
      </c>
      <c r="C7" s="13">
        <f>'Revenue Model'!C15</f>
        <v/>
      </c>
      <c r="D7" s="13">
        <f>'Revenue Model'!D15</f>
        <v/>
      </c>
      <c r="E7" s="13">
        <f>'Revenue Model'!E15</f>
        <v/>
      </c>
      <c r="F7" s="13">
        <f>'Revenue Model'!F15</f>
        <v/>
      </c>
    </row>
    <row r="8">
      <c r="A8" s="3" t="inlineStr">
        <is>
          <t>Active Companions</t>
        </is>
      </c>
      <c r="B8" s="13">
        <f>'Revenue Model'!B16</f>
        <v/>
      </c>
      <c r="C8" s="13">
        <f>'Revenue Model'!C16</f>
        <v/>
      </c>
      <c r="D8" s="13">
        <f>'Revenue Model'!D16</f>
        <v/>
      </c>
      <c r="E8" s="13">
        <f>'Revenue Model'!E16</f>
        <v/>
      </c>
      <c r="F8" s="13">
        <f>'Revenue Model'!F16</f>
        <v/>
      </c>
    </row>
    <row r="10">
      <c r="A10" s="10" t="inlineStr">
        <is>
          <t>REVENUE METRICS</t>
        </is>
      </c>
    </row>
    <row r="11">
      <c r="A11" s="3" t="inlineStr">
        <is>
          <t>Revenue per User (Annual)</t>
        </is>
      </c>
      <c r="B11" s="8">
        <f>'P&amp;L Summary'!B7/B7</f>
        <v/>
      </c>
      <c r="C11" s="8">
        <f>'P&amp;L Summary'!C7/C7</f>
        <v/>
      </c>
      <c r="D11" s="8">
        <f>'P&amp;L Summary'!D7/D7</f>
        <v/>
      </c>
      <c r="E11" s="8">
        <f>'P&amp;L Summary'!E7/E7</f>
        <v/>
      </c>
      <c r="F11" s="8">
        <f>'P&amp;L Summary'!F7/F7</f>
        <v/>
      </c>
    </row>
    <row r="12">
      <c r="A12" s="3" t="inlineStr">
        <is>
          <t>Revenue per Companion (Annual)</t>
        </is>
      </c>
      <c r="B12" s="8">
        <f>'P&amp;L Summary'!B6/B8</f>
        <v/>
      </c>
      <c r="C12" s="8">
        <f>'P&amp;L Summary'!C6/C8</f>
        <v/>
      </c>
      <c r="D12" s="8">
        <f>'P&amp;L Summary'!D6/D8</f>
        <v/>
      </c>
      <c r="E12" s="8">
        <f>'P&amp;L Summary'!E6/E8</f>
        <v/>
      </c>
      <c r="F12" s="8">
        <f>'P&amp;L Summary'!F6/F8</f>
        <v/>
      </c>
    </row>
    <row r="13">
      <c r="A13" s="3" t="inlineStr">
        <is>
          <t>Customer Acquisition Cost (CAC)</t>
        </is>
      </c>
      <c r="B13" s="12" t="n">
        <v>200</v>
      </c>
      <c r="C13" s="12" t="n">
        <v>75</v>
      </c>
      <c r="D13" s="12" t="n">
        <v>33.33333333333334</v>
      </c>
      <c r="E13" s="12" t="n">
        <v>20</v>
      </c>
      <c r="F13" s="12" t="n">
        <v>13.33333333333333</v>
      </c>
    </row>
    <row r="14">
      <c r="A14" s="3" t="inlineStr">
        <is>
          <t>Customer Lifetime Value (LTV)</t>
        </is>
      </c>
      <c r="B14" s="8">
        <f>B11/3</f>
        <v/>
      </c>
      <c r="C14" s="8">
        <f>C11/3</f>
        <v/>
      </c>
      <c r="D14" s="8">
        <f>D11/3</f>
        <v/>
      </c>
      <c r="E14" s="8">
        <f>E11/3</f>
        <v/>
      </c>
      <c r="F14" s="8">
        <f>F11/3</f>
        <v/>
      </c>
    </row>
    <row r="15">
      <c r="A15" s="3" t="inlineStr">
        <is>
          <t>LTV / CAC Ratio</t>
        </is>
      </c>
      <c r="B15" s="11">
        <f>B14/B13</f>
        <v/>
      </c>
      <c r="C15" s="11">
        <f>C14/C13</f>
        <v/>
      </c>
      <c r="D15" s="11">
        <f>D14/D13</f>
        <v/>
      </c>
      <c r="E15" s="11">
        <f>E14/E13</f>
        <v/>
      </c>
      <c r="F15" s="11">
        <f>F14/F13</f>
        <v/>
      </c>
    </row>
    <row r="17">
      <c r="A17" s="10" t="inlineStr">
        <is>
          <t>GROWTH METRICS</t>
        </is>
      </c>
    </row>
    <row r="18">
      <c r="A18" s="3" t="inlineStr">
        <is>
          <t>Monthly Active Users Growth Rate</t>
        </is>
      </c>
      <c r="B18" s="11">
        <f>(B15-500)/500</f>
        <v/>
      </c>
      <c r="C18" s="11">
        <f>(C15-B15)/B15</f>
        <v/>
      </c>
      <c r="D18" s="11">
        <f>(D15-C15)/C15</f>
        <v/>
      </c>
      <c r="E18" s="11">
        <f>(E15-D15)/D15</f>
        <v/>
      </c>
      <c r="F18" s="11">
        <f>(F15-E15)/E15</f>
        <v/>
      </c>
    </row>
    <row r="19">
      <c r="A19" s="3" t="inlineStr">
        <is>
          <t>Companion Utilization Rate</t>
        </is>
      </c>
      <c r="B19" s="14" t="n">
        <v>0.8</v>
      </c>
      <c r="C19" s="14" t="n">
        <v>0.82</v>
      </c>
      <c r="D19" s="14" t="n">
        <v>0.84</v>
      </c>
      <c r="E19" s="14" t="n">
        <v>0.85</v>
      </c>
      <c r="F19" s="14" t="n">
        <v>0.85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2026-03-02T00:17:10Z</dcterms:created>
  <dcterms:modified xmlns:dcterms="http://purl.org/dc/terms/" xmlns:xsi="http://www.w3.org/2001/XMLSchema-instance" xsi:type="dcterms:W3CDTF">2026-03-02T00:17:10Z</dcterms:modified>
</cp:coreProperties>
</file>