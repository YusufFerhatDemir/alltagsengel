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wertung" sheetId="1" state="visible" r:id="rId3"/>
    <sheet name="3-Jahres-Progno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<sst xmlns="http://schemas.openxmlformats.org/spreadsheetml/2006/main" count="54" uniqueCount="51">
  <si>
    <t xml:space="preserve">ALLTAGSENGEL — App-Bewertung &amp; Umsatzprognose</t>
  </si>
  <si>
    <t xml:space="preserve">Stand: 4. April 2026 | Markt: Frankfurt am Main | §45b SGB XI + Privat</t>
  </si>
  <si>
    <t xml:space="preserve">AKTUELLE KENNZAHLEN</t>
  </si>
  <si>
    <t xml:space="preserve">Registrierte Nutzer</t>
  </si>
  <si>
    <t xml:space="preserve">Kunden</t>
  </si>
  <si>
    <t xml:space="preserve">Engel (Betreuer)</t>
  </si>
  <si>
    <t xml:space="preserve">Fahrer</t>
  </si>
  <si>
    <t xml:space="preserve">Buchungen gesamt</t>
  </si>
  <si>
    <t xml:space="preserve">Umsatz gesamt (€)</t>
  </si>
  <si>
    <t xml:space="preserve">Plattform-Gebühren (€)</t>
  </si>
  <si>
    <t xml:space="preserve">Ø Buchungswert (€)</t>
  </si>
  <si>
    <t xml:space="preserve">MARKTPOTENZIAL §45b SGB XI</t>
  </si>
  <si>
    <t xml:space="preserve">Einwohner Frankfurt (Rhein-Main)</t>
  </si>
  <si>
    <t xml:space="preserve">Anteil mit Pflegegrad (%)</t>
  </si>
  <si>
    <t xml:space="preserve">§45b Budget pro Person/Monat (€)</t>
  </si>
  <si>
    <t xml:space="preserve">§45b Budget pro Person/Jahr (€)</t>
  </si>
  <si>
    <t xml:space="preserve">Nutzungsquote §45b (%)</t>
  </si>
  <si>
    <t xml:space="preserve">Erreichbarer Marktanteil Jahr 1 (%)</t>
  </si>
  <si>
    <t xml:space="preserve">Erreichbarer Marktanteil Jahr 2 (%)</t>
  </si>
  <si>
    <t xml:space="preserve">Erreichbarer Marktanteil Jahr 3 (%)</t>
  </si>
  <si>
    <t xml:space="preserve">Plattform-Provision (%)</t>
  </si>
  <si>
    <t xml:space="preserve">MARKTPOTENZIAL PRIVATKUNDEN</t>
  </si>
  <si>
    <t xml:space="preserve">Senioren 65+ in Rhein-Main (ohne Pflegegrad)</t>
  </si>
  <si>
    <t xml:space="preserve">Interesse an Alltagsbegleitung (%)</t>
  </si>
  <si>
    <t xml:space="preserve">Ø Buchungen pro Kunde/Monat</t>
  </si>
  <si>
    <t xml:space="preserve">Ø Stundensatz privat (€)</t>
  </si>
  <si>
    <t xml:space="preserve">Ø Stunden pro Buchung</t>
  </si>
  <si>
    <t xml:space="preserve">Plattform-Provision privat (%)</t>
  </si>
  <si>
    <t xml:space="preserve">ALLTAGSENGEL — 3-Jahres Umsatzprognose</t>
  </si>
  <si>
    <t xml:space="preserve">Heute</t>
  </si>
  <si>
    <t xml:space="preserve">Jahr 1 (Apr 27)</t>
  </si>
  <si>
    <t xml:space="preserve">Jahr 2 (Apr 28)</t>
  </si>
  <si>
    <t xml:space="preserve">Jahr 3 (Apr 29)</t>
  </si>
  <si>
    <t xml:space="preserve">§45b SGB XI UMSATZ</t>
  </si>
  <si>
    <t xml:space="preserve">Kunden §45b</t>
  </si>
  <si>
    <t xml:space="preserve">Ø Umsatz/Kunde/Jahr §45b (€)</t>
  </si>
  <si>
    <t xml:space="preserve">Bruttoumsatz §45b (€)</t>
  </si>
  <si>
    <t xml:space="preserve">Plattform-Ertrag §45b (€)</t>
  </si>
  <si>
    <t xml:space="preserve">PRIVATKUNDEN UMSATZ</t>
  </si>
  <si>
    <t xml:space="preserve">Kunden privat</t>
  </si>
  <si>
    <t xml:space="preserve">Ø Umsatz/Kunde/Jahr privat (€)</t>
  </si>
  <si>
    <t xml:space="preserve">Bruttoumsatz privat (€)</t>
  </si>
  <si>
    <t xml:space="preserve">Plattform-Ertrag privat (€)</t>
  </si>
  <si>
    <t xml:space="preserve">GESAMT</t>
  </si>
  <si>
    <t xml:space="preserve">Bruttoumsatz gesamt (€)</t>
  </si>
  <si>
    <t xml:space="preserve">Plattform-Ertrag gesamt (€)</t>
  </si>
  <si>
    <t xml:space="preserve">APP-BEWERTUNG</t>
  </si>
  <si>
    <t xml:space="preserve">Bewertungs-Multiple (x Jahresumsatz)</t>
  </si>
  <si>
    <t xml:space="preserve">GESCHÄTZTER WERT (€)</t>
  </si>
  <si>
    <t xml:space="preserve">Hinweis: Blaue Zahlen sind Annahmen — änderbar. Schwarze Zahlen sind Formeln.</t>
  </si>
  <si>
    <t xml:space="preserve">Multiple: SaaS/Plattformen 3-5x Jahresumsatz (Frühphase), 8-15x (Wachstum)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</si>
</sst>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&quot; €&quot;"/>
    <numFmt numFmtId="166" formatCode="#,##0"/>
    <numFmt numFmtId="167" formatCode="0.0%"/>
    <numFmt numFmtId="168" formatCode="#,##0&quot; €&quot;"/>
    <numFmt numFmtId="169" formatCode="0.0\x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9963C"/>
      <name val="Cambria"/>
      <family val="0"/>
      <charset val="1"/>
    </font>
    <font>
      <sz val="10"/>
      <color rgb="FF888888"/>
      <name val="Cambria"/>
      <family val="0"/>
      <charset val="1"/>
    </font>
    <font>
      <b val="true"/>
      <sz val="11"/>
      <color rgb="FFC9963C"/>
      <name val="Cambria"/>
      <family val="0"/>
      <charset val="1"/>
    </font>
    <font>
      <sz val="10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00FF"/>
      <name val="Cambria"/>
      <family val="0"/>
      <charset val="1"/>
    </font>
    <font>
      <sz val="10"/>
      <color rgb="FF000000"/>
      <name val="Cambria"/>
      <family val="0"/>
      <charset val="1"/>
    </font>
    <font>
      <b val="true"/>
      <sz val="14"/>
      <color rgb="FFC9963C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b val="true"/>
      <sz val="12"/>
      <color rgb="FFC9963C"/>
      <name val="Cambria"/>
      <family val="0"/>
      <charset val="1"/>
    </font>
    <font>
      <i val="true"/>
      <sz val="9"/>
      <color rgb="FF888888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D0A08"/>
        <bgColor rgb="FF000000"/>
      </patternFill>
    </fill>
    <fill>
      <patternFill patternType="solid">
        <fgColor rgb="FF333333"/>
        <bgColor rgb="FF1A1510"/>
      </patternFill>
    </fill>
    <fill>
      <patternFill patternType="solid">
        <fgColor rgb="FFF5F0E0"/>
        <bgColor rgb="FFE8F5E8"/>
      </patternFill>
    </fill>
    <fill>
      <patternFill patternType="solid">
        <fgColor rgb="FFE8F5E8"/>
        <bgColor rgb="FFF5F0E0"/>
      </patternFill>
    </fill>
    <fill>
      <patternFill patternType="solid">
        <fgColor rgb="FF1A1510"/>
        <bgColor rgb="FF0D0A0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963C"/>
      </bottom>
      <diagonal/>
    </border>
    <border diagonalUp="false" diagonalDown="false">
      <left/>
      <right/>
      <top style="double">
        <color rgb="FFC9963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5F0E0"/>
      <rgbColor rgb="FFE8F5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50C878"/>
      <rgbColor rgb="FF99CC00"/>
      <rgbColor rgb="FFFFCC00"/>
      <rgbColor rgb="FFC9963C"/>
      <rgbColor rgb="FFFF6600"/>
      <rgbColor rgb="FF666699"/>
      <rgbColor rgb="FF969696"/>
      <rgbColor rgb="FF003366"/>
      <rgbColor rgb="FF339966"/>
      <rgbColor rgb="FF0D0A08"/>
      <rgbColor rgb="FF1A151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963C"/>
    <pageSetUpPr fitToPage="false"/>
  </sheetPr>
  <dimension ref="A1:H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9" min="1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n">
        <v>21</v>
      </c>
    </row>
    <row r="6" customFormat="false" ht="15" hidden="false" customHeight="false" outlineLevel="0" collapsed="false">
      <c r="A6" s="4" t="s">
        <v>4</v>
      </c>
      <c r="B6" s="5" t="n">
        <v>6</v>
      </c>
    </row>
    <row r="7" customFormat="false" ht="15" hidden="false" customHeight="false" outlineLevel="0" collapsed="false">
      <c r="A7" s="4" t="s">
        <v>5</v>
      </c>
      <c r="B7" s="5" t="n">
        <v>8</v>
      </c>
    </row>
    <row r="8" customFormat="false" ht="15" hidden="false" customHeight="false" outlineLevel="0" collapsed="false">
      <c r="A8" s="4" t="s">
        <v>6</v>
      </c>
      <c r="B8" s="5" t="n">
        <v>4</v>
      </c>
    </row>
    <row r="9" customFormat="false" ht="15" hidden="false" customHeight="false" outlineLevel="0" collapsed="false">
      <c r="A9" s="4" t="s">
        <v>7</v>
      </c>
      <c r="B9" s="5" t="n">
        <v>6</v>
      </c>
    </row>
    <row r="10" customFormat="false" ht="15" hidden="false" customHeight="false" outlineLevel="0" collapsed="false">
      <c r="A10" s="4" t="s">
        <v>8</v>
      </c>
      <c r="B10" s="6" t="n">
        <v>500.32</v>
      </c>
    </row>
    <row r="11" customFormat="false" ht="15" hidden="false" customHeight="false" outlineLevel="0" collapsed="false">
      <c r="A11" s="4" t="s">
        <v>9</v>
      </c>
      <c r="B11" s="6" t="n">
        <v>34.64</v>
      </c>
    </row>
    <row r="12" customFormat="false" ht="15" hidden="false" customHeight="false" outlineLevel="0" collapsed="false">
      <c r="A12" s="4" t="s">
        <v>10</v>
      </c>
      <c r="B12" s="6" t="n">
        <v>83.39</v>
      </c>
    </row>
    <row r="15" customFormat="false" ht="15" hidden="false" customHeight="false" outlineLevel="0" collapsed="false">
      <c r="A15" s="3" t="s">
        <v>11</v>
      </c>
      <c r="B15" s="3"/>
      <c r="C15" s="3"/>
      <c r="D15" s="3"/>
    </row>
    <row r="16" customFormat="false" ht="15" hidden="false" customHeight="false" outlineLevel="0" collapsed="false">
      <c r="A16" s="4" t="s">
        <v>12</v>
      </c>
      <c r="B16" s="7" t="n">
        <v>2400000</v>
      </c>
    </row>
    <row r="17" customFormat="false" ht="15" hidden="false" customHeight="false" outlineLevel="0" collapsed="false">
      <c r="A17" s="4" t="s">
        <v>13</v>
      </c>
      <c r="B17" s="8" t="n">
        <v>0.045</v>
      </c>
    </row>
    <row r="18" customFormat="false" ht="15" hidden="false" customHeight="false" outlineLevel="0" collapsed="false">
      <c r="A18" s="4" t="e">
        <f aca="false">personen mit pflegegrad</f>
        <v>#VALUE!</v>
      </c>
      <c r="B18" s="9" t="n">
        <f aca="false">B16*B17</f>
        <v>108000</v>
      </c>
    </row>
    <row r="19" customFormat="false" ht="15" hidden="false" customHeight="false" outlineLevel="0" collapsed="false">
      <c r="A19" s="4" t="s">
        <v>14</v>
      </c>
      <c r="B19" s="10" t="n">
        <v>125</v>
      </c>
    </row>
    <row r="20" customFormat="false" ht="15" hidden="false" customHeight="false" outlineLevel="0" collapsed="false">
      <c r="A20" s="4" t="s">
        <v>15</v>
      </c>
      <c r="B20" s="11" t="n">
        <f aca="false">B19*12</f>
        <v>1500</v>
      </c>
    </row>
    <row r="21" customFormat="false" ht="15" hidden="false" customHeight="false" outlineLevel="0" collapsed="false">
      <c r="A21" s="4" t="s">
        <v>16</v>
      </c>
      <c r="B21" s="8" t="n">
        <v>0.35</v>
      </c>
    </row>
    <row r="22" customFormat="false" ht="15" hidden="false" customHeight="false" outlineLevel="0" collapsed="false">
      <c r="A22" s="4" t="e">
        <f aca="false">personen die §45b nutzen</f>
        <v>#N/A</v>
      </c>
      <c r="B22" s="9" t="n">
        <f aca="false">B18*B21</f>
        <v>37800</v>
      </c>
    </row>
    <row r="23" customFormat="false" ht="15" hidden="false" customHeight="false" outlineLevel="0" collapsed="false">
      <c r="A23" s="4" t="s">
        <v>17</v>
      </c>
      <c r="B23" s="8" t="n">
        <v>0.005</v>
      </c>
    </row>
    <row r="24" customFormat="false" ht="15" hidden="false" customHeight="false" outlineLevel="0" collapsed="false">
      <c r="A24" s="4" t="s">
        <v>18</v>
      </c>
      <c r="B24" s="8" t="n">
        <v>0.02</v>
      </c>
    </row>
    <row r="25" customFormat="false" ht="15" hidden="false" customHeight="false" outlineLevel="0" collapsed="false">
      <c r="A25" s="4" t="s">
        <v>19</v>
      </c>
      <c r="B25" s="8" t="n">
        <v>0.05</v>
      </c>
    </row>
    <row r="26" customFormat="false" ht="15" hidden="false" customHeight="false" outlineLevel="0" collapsed="false">
      <c r="A26" s="4" t="s">
        <v>20</v>
      </c>
      <c r="B26" s="8" t="n">
        <v>0.15</v>
      </c>
    </row>
    <row r="28" customFormat="false" ht="15" hidden="false" customHeight="false" outlineLevel="0" collapsed="false">
      <c r="A28" s="3" t="s">
        <v>21</v>
      </c>
      <c r="B28" s="3"/>
      <c r="C28" s="3"/>
      <c r="D28" s="3"/>
    </row>
    <row r="29" customFormat="false" ht="15" hidden="false" customHeight="false" outlineLevel="0" collapsed="false">
      <c r="A29" s="4" t="s">
        <v>22</v>
      </c>
      <c r="B29" s="7" t="n">
        <v>350000</v>
      </c>
    </row>
    <row r="30" customFormat="false" ht="15" hidden="false" customHeight="false" outlineLevel="0" collapsed="false">
      <c r="A30" s="4" t="s">
        <v>23</v>
      </c>
      <c r="B30" s="8" t="n">
        <v>0.03</v>
      </c>
    </row>
    <row r="31" customFormat="false" ht="15" hidden="false" customHeight="false" outlineLevel="0" collapsed="false">
      <c r="A31" s="4" t="e">
        <f aca="false">potenzielle privatkunden</f>
        <v>#VALUE!</v>
      </c>
      <c r="B31" s="9" t="n">
        <f aca="false">B29*B30</f>
        <v>10500</v>
      </c>
    </row>
    <row r="32" customFormat="false" ht="15" hidden="false" customHeight="false" outlineLevel="0" collapsed="false">
      <c r="A32" s="4" t="s">
        <v>24</v>
      </c>
      <c r="B32" s="7" t="n">
        <v>2</v>
      </c>
    </row>
    <row r="33" customFormat="false" ht="15" hidden="false" customHeight="false" outlineLevel="0" collapsed="false">
      <c r="A33" s="4" t="s">
        <v>25</v>
      </c>
      <c r="B33" s="10" t="n">
        <v>35</v>
      </c>
    </row>
    <row r="34" customFormat="false" ht="15" hidden="false" customHeight="false" outlineLevel="0" collapsed="false">
      <c r="A34" s="4" t="s">
        <v>26</v>
      </c>
      <c r="B34" s="7" t="n">
        <v>2.5</v>
      </c>
    </row>
    <row r="35" customFormat="false" ht="15" hidden="false" customHeight="false" outlineLevel="0" collapsed="false">
      <c r="A35" s="4" t="s">
        <v>27</v>
      </c>
      <c r="B35" s="8" t="n">
        <v>0.2</v>
      </c>
    </row>
    <row r="36" customFormat="false" ht="15" hidden="false" customHeight="false" outlineLevel="0" collapsed="false">
      <c r="A36" s="4" t="s">
        <v>17</v>
      </c>
      <c r="B36" s="8" t="n">
        <v>0.01</v>
      </c>
    </row>
    <row r="37" customFormat="false" ht="15" hidden="false" customHeight="false" outlineLevel="0" collapsed="false">
      <c r="A37" s="4" t="s">
        <v>18</v>
      </c>
      <c r="B37" s="8" t="n">
        <v>0.03</v>
      </c>
    </row>
    <row r="38" customFormat="false" ht="15" hidden="false" customHeight="false" outlineLevel="0" collapsed="false">
      <c r="A38" s="4" t="s">
        <v>19</v>
      </c>
      <c r="B38" s="8" t="n">
        <v>0.07</v>
      </c>
    </row>
  </sheetData>
  <mergeCells count="5">
    <mergeCell ref="A1:H1"/>
    <mergeCell ref="A2:H2"/>
    <mergeCell ref="A4:D4"/>
    <mergeCell ref="A15:D15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0C878"/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1" style="0" width="22"/>
  </cols>
  <sheetData>
    <row r="1" customFormat="false" ht="17.35" hidden="false" customHeight="false" outlineLevel="0" collapsed="false">
      <c r="A1" s="12" t="s">
        <v>28</v>
      </c>
      <c r="B1" s="12"/>
      <c r="C1" s="12"/>
      <c r="D1" s="12"/>
      <c r="E1" s="12"/>
    </row>
    <row r="3" customFormat="false" ht="15" hidden="false" customHeight="false" outlineLevel="0" collapsed="false">
      <c r="A3" s="13"/>
      <c r="B3" s="13" t="s">
        <v>29</v>
      </c>
      <c r="C3" s="13" t="s">
        <v>30</v>
      </c>
      <c r="D3" s="13" t="s">
        <v>31</v>
      </c>
      <c r="E3" s="13" t="s">
        <v>32</v>
      </c>
    </row>
    <row r="4" customFormat="false" ht="15" hidden="false" customHeight="false" outlineLevel="0" collapsed="false">
      <c r="A4" s="14" t="s">
        <v>33</v>
      </c>
    </row>
    <row r="5" customFormat="false" ht="15" hidden="false" customHeight="false" outlineLevel="0" collapsed="false">
      <c r="A5" s="0" t="s">
        <v>34</v>
      </c>
      <c r="B5" s="15" t="n">
        <v>3</v>
      </c>
      <c r="C5" s="9" t="n">
        <f aca="false">Bewertung!B22*Bewertung!B23</f>
        <v>189</v>
      </c>
      <c r="D5" s="9" t="n">
        <f aca="false">Bewertung!B22*Bewertung!B24</f>
        <v>756</v>
      </c>
      <c r="E5" s="9" t="n">
        <f aca="false">Bewertung!B22*Bewertung!B25</f>
        <v>1890</v>
      </c>
    </row>
    <row r="6" customFormat="false" ht="15" hidden="false" customHeight="false" outlineLevel="0" collapsed="false">
      <c r="A6" s="0" t="s">
        <v>35</v>
      </c>
      <c r="B6" s="10" t="n">
        <v>1000</v>
      </c>
      <c r="C6" s="16" t="n">
        <f aca="false">Bewertung!B20</f>
        <v>1500</v>
      </c>
      <c r="D6" s="16" t="n">
        <f aca="false">Bewertung!B20</f>
        <v>1500</v>
      </c>
      <c r="E6" s="16" t="n">
        <f aca="false">Bewertung!B20</f>
        <v>1500</v>
      </c>
    </row>
    <row r="7" customFormat="false" ht="15" hidden="false" customHeight="false" outlineLevel="0" collapsed="false">
      <c r="A7" s="5" t="s">
        <v>36</v>
      </c>
      <c r="B7" s="17" t="n">
        <f aca="false">B5*B6</f>
        <v>3000</v>
      </c>
      <c r="C7" s="17" t="n">
        <f aca="false">C5*C6</f>
        <v>283500</v>
      </c>
      <c r="D7" s="17" t="n">
        <f aca="false">D5*D6</f>
        <v>1134000</v>
      </c>
      <c r="E7" s="17" t="n">
        <f aca="false">E5*E6</f>
        <v>2835000</v>
      </c>
    </row>
    <row r="8" customFormat="false" ht="15" hidden="false" customHeight="false" outlineLevel="0" collapsed="false">
      <c r="A8" s="0" t="s">
        <v>37</v>
      </c>
      <c r="B8" s="18" t="n">
        <f aca="false">B7*Bewertung!B26</f>
        <v>450</v>
      </c>
      <c r="C8" s="18" t="n">
        <f aca="false">C7*Bewertung!B26</f>
        <v>42525</v>
      </c>
      <c r="D8" s="18" t="n">
        <f aca="false">D7*Bewertung!B26</f>
        <v>170100</v>
      </c>
      <c r="E8" s="18" t="n">
        <f aca="false">E7*Bewertung!B26</f>
        <v>425250</v>
      </c>
    </row>
    <row r="10" customFormat="false" ht="15" hidden="false" customHeight="false" outlineLevel="0" collapsed="false">
      <c r="A10" s="14" t="s">
        <v>38</v>
      </c>
    </row>
    <row r="11" customFormat="false" ht="15" hidden="false" customHeight="false" outlineLevel="0" collapsed="false">
      <c r="A11" s="0" t="s">
        <v>39</v>
      </c>
      <c r="B11" s="15" t="n">
        <v>2</v>
      </c>
      <c r="C11" s="9" t="n">
        <f aca="false">Bewertung!B31*Bewertung!B36</f>
        <v>105</v>
      </c>
      <c r="D11" s="9" t="n">
        <f aca="false">Bewertung!B31*Bewertung!B37</f>
        <v>315</v>
      </c>
      <c r="E11" s="9" t="n">
        <f aca="false">Bewertung!B31*Bewertung!B38</f>
        <v>735</v>
      </c>
    </row>
    <row r="12" customFormat="false" ht="15" hidden="false" customHeight="false" outlineLevel="0" collapsed="false">
      <c r="A12" s="0" t="s">
        <v>40</v>
      </c>
      <c r="B12" s="10" t="n">
        <v>1500</v>
      </c>
      <c r="C12" s="16" t="n">
        <f aca="false">Bewertung!B32*Bewertung!B33*Bewertung!B34*12</f>
        <v>2100</v>
      </c>
      <c r="D12" s="16" t="n">
        <f aca="false">C12</f>
        <v>2100</v>
      </c>
      <c r="E12" s="16" t="n">
        <f aca="false">C12</f>
        <v>2100</v>
      </c>
    </row>
    <row r="13" customFormat="false" ht="15" hidden="false" customHeight="false" outlineLevel="0" collapsed="false">
      <c r="A13" s="5" t="s">
        <v>41</v>
      </c>
      <c r="B13" s="17" t="n">
        <f aca="false">B11*B12</f>
        <v>3000</v>
      </c>
      <c r="C13" s="17" t="n">
        <f aca="false">C11*C12</f>
        <v>220500</v>
      </c>
      <c r="D13" s="17" t="n">
        <f aca="false">D11*D12</f>
        <v>661500</v>
      </c>
      <c r="E13" s="17" t="n">
        <f aca="false">E11*E12</f>
        <v>1543500</v>
      </c>
    </row>
    <row r="14" customFormat="false" ht="15" hidden="false" customHeight="false" outlineLevel="0" collapsed="false">
      <c r="A14" s="0" t="s">
        <v>42</v>
      </c>
      <c r="B14" s="18" t="n">
        <f aca="false">B13*Bewertung!B35</f>
        <v>600</v>
      </c>
      <c r="C14" s="18" t="n">
        <f aca="false">C13*Bewertung!B35</f>
        <v>44100</v>
      </c>
      <c r="D14" s="18" t="n">
        <f aca="false">D13*Bewertung!B35</f>
        <v>132300</v>
      </c>
      <c r="E14" s="18" t="n">
        <f aca="false">E13*Bewertung!B35</f>
        <v>308700</v>
      </c>
    </row>
    <row r="16" customFormat="false" ht="15" hidden="false" customHeight="false" outlineLevel="0" collapsed="false">
      <c r="A16" s="19" t="s">
        <v>43</v>
      </c>
    </row>
    <row r="17" customFormat="false" ht="15" hidden="false" customHeight="false" outlineLevel="0" collapsed="false">
      <c r="A17" s="20" t="s">
        <v>44</v>
      </c>
      <c r="B17" s="21" t="n">
        <f aca="false">B7+B13</f>
        <v>6000</v>
      </c>
      <c r="C17" s="21" t="n">
        <f aca="false">C7+C13</f>
        <v>504000</v>
      </c>
      <c r="D17" s="21" t="n">
        <f aca="false">D7+D13</f>
        <v>1795500</v>
      </c>
      <c r="E17" s="21" t="n">
        <f aca="false">E7+E13</f>
        <v>4378500</v>
      </c>
    </row>
    <row r="18" customFormat="false" ht="15" hidden="false" customHeight="false" outlineLevel="0" collapsed="false">
      <c r="A18" s="22" t="s">
        <v>45</v>
      </c>
      <c r="B18" s="23" t="n">
        <f aca="false">B8+B14</f>
        <v>1050</v>
      </c>
      <c r="C18" s="23" t="n">
        <f aca="false">C8+C14</f>
        <v>86625</v>
      </c>
      <c r="D18" s="23" t="n">
        <f aca="false">D8+D14</f>
        <v>302400</v>
      </c>
      <c r="E18" s="23" t="n">
        <f aca="false">E8+E14</f>
        <v>733950</v>
      </c>
    </row>
    <row r="20" customFormat="false" ht="15" hidden="false" customHeight="false" outlineLevel="0" collapsed="false">
      <c r="A20" s="19" t="s">
        <v>46</v>
      </c>
    </row>
    <row r="21" customFormat="false" ht="15" hidden="false" customHeight="false" outlineLevel="0" collapsed="false">
      <c r="A21" s="0" t="s">
        <v>47</v>
      </c>
      <c r="C21" s="24" t="n">
        <v>3</v>
      </c>
      <c r="D21" s="24" t="n">
        <v>4</v>
      </c>
      <c r="E21" s="24" t="n">
        <v>5</v>
      </c>
    </row>
    <row r="22" customFormat="false" ht="17.35" hidden="false" customHeight="false" outlineLevel="0" collapsed="false">
      <c r="A22" s="25" t="s">
        <v>48</v>
      </c>
      <c r="C22" s="26" t="n">
        <f aca="false">C18*C21</f>
        <v>259875</v>
      </c>
      <c r="D22" s="26" t="n">
        <f aca="false">D18*D21</f>
        <v>1209600</v>
      </c>
      <c r="E22" s="26" t="n">
        <f aca="false">E18*E21</f>
        <v>3669750</v>
      </c>
    </row>
    <row r="24" customFormat="false" ht="15" hidden="false" customHeight="false" outlineLevel="0" collapsed="false">
      <c r="A24" s="27" t="s">
        <v>49</v>
      </c>
      <c r="B24" s="27"/>
      <c r="C24" s="27"/>
      <c r="D24" s="27"/>
      <c r="E24" s="27"/>
    </row>
    <row r="25" customFormat="false" ht="15" hidden="false" customHeight="false" outlineLevel="0" collapsed="false">
      <c r="A25" s="27" t="s">
        <v>50</v>
      </c>
      <c r="B25" s="27"/>
      <c r="C25" s="27"/>
      <c r="D25" s="27"/>
      <c r="E25" s="27"/>
    </row>
  </sheetData>
  <mergeCells count="3">
    <mergeCell ref="A1:E1"/>
    <mergeCell ref="A24:E24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2026-04-04T19:56:49Z</dcterms:created>
  <dc:creator>openpyxl</dc:creator>
  <dc:description/>
  <dc:language>en-US</dc:language>
  <cp:lastModifiedBy/>
  <dcterms:modified xsi:type="dcterms:W3CDTF">2026-04-04T19:56:49Z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