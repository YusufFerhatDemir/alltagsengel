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prognose" sheetId="1" state="visible" r:id="rId1"/>
    <sheet xmlns:r="http://schemas.openxmlformats.org/officeDocument/2006/relationships" name="Gewinn-und-Verlust" sheetId="2" state="visible" r:id="rId2"/>
    <sheet xmlns:r="http://schemas.openxmlformats.org/officeDocument/2006/relationships" name="Kennzah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C9963C"/>
        <bgColor rgb="00C996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2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10" fontId="0" fillId="0" borderId="1" applyAlignment="1" pivotButton="0" quotePrefix="0" xfId="0">
      <alignment horizontal="right"/>
    </xf>
    <xf numFmtId="0" fontId="3" fillId="2" borderId="1" pivotButton="0" quotePrefix="0" xfId="0"/>
    <xf numFmtId="0" fontId="5" fillId="0" borderId="1" pivotButton="0" quotePrefix="0" xfId="0"/>
    <xf numFmtId="16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AlltagsEngel UG - Frankfurt am Main</t>
        </is>
      </c>
    </row>
    <row r="2">
      <c r="A2" s="2" t="inlineStr">
        <is>
          <t>Umsatzprognose (Revenue Forecast) - 5 Jahre</t>
        </is>
      </c>
    </row>
    <row r="4">
      <c r="A4" s="3" t="inlineStr"/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Jahr 2</t>
        </is>
      </c>
      <c r="O4" s="3" t="inlineStr">
        <is>
          <t>Jahr 3</t>
        </is>
      </c>
      <c r="P4" s="3" t="inlineStr">
        <is>
          <t>Jahr 4</t>
        </is>
      </c>
      <c r="Q4" s="3" t="inlineStr">
        <is>
          <t>Jahr 5</t>
        </is>
      </c>
    </row>
    <row r="5">
      <c r="A5" s="4" t="inlineStr">
        <is>
          <t>Aktive Nutzer</t>
        </is>
      </c>
      <c r="B5" s="5" t="n">
        <v>20</v>
      </c>
      <c r="C5" s="5" t="n">
        <v>63</v>
      </c>
      <c r="D5" s="5" t="n">
        <v>107</v>
      </c>
      <c r="E5" s="5" t="n">
        <v>150</v>
      </c>
      <c r="F5" s="5" t="n">
        <v>194</v>
      </c>
      <c r="G5" s="5" t="n">
        <v>238</v>
      </c>
      <c r="H5" s="5" t="n">
        <v>281</v>
      </c>
      <c r="I5" s="5" t="n">
        <v>325</v>
      </c>
      <c r="J5" s="5" t="n">
        <v>369</v>
      </c>
      <c r="K5" s="5" t="n">
        <v>412</v>
      </c>
      <c r="L5" s="5" t="n">
        <v>456</v>
      </c>
      <c r="M5" s="5" t="n">
        <v>500</v>
      </c>
      <c r="N5" s="5" t="n">
        <v>2500</v>
      </c>
      <c r="O5" s="5" t="n">
        <v>10000</v>
      </c>
      <c r="P5" s="5" t="n">
        <v>35000</v>
      </c>
      <c r="Q5" s="5" t="n">
        <v>75000</v>
      </c>
    </row>
    <row r="6">
      <c r="A6" s="4" t="inlineStr">
        <is>
          <t>Registrierte Engel</t>
        </is>
      </c>
      <c r="B6" s="5" t="n">
        <v>5</v>
      </c>
      <c r="C6" s="5" t="n">
        <v>9</v>
      </c>
      <c r="D6" s="5" t="n">
        <v>13</v>
      </c>
      <c r="E6" s="5" t="n">
        <v>17</v>
      </c>
      <c r="F6" s="5" t="n">
        <v>21</v>
      </c>
      <c r="G6" s="5" t="n">
        <v>25</v>
      </c>
      <c r="H6" s="5" t="n">
        <v>29</v>
      </c>
      <c r="I6" s="5" t="n">
        <v>33</v>
      </c>
      <c r="J6" s="5" t="n">
        <v>37</v>
      </c>
      <c r="K6" s="5" t="n">
        <v>41</v>
      </c>
      <c r="L6" s="5" t="n">
        <v>45</v>
      </c>
      <c r="M6" s="5" t="n">
        <v>50</v>
      </c>
      <c r="N6" s="5" t="n">
        <v>150</v>
      </c>
      <c r="O6" s="5" t="n">
        <v>500</v>
      </c>
      <c r="P6" s="5" t="n">
        <v>2000</v>
      </c>
      <c r="Q6" s="5" t="n">
        <v>5000</v>
      </c>
    </row>
    <row r="7">
      <c r="A7" s="4" t="inlineStr">
        <is>
          <t>Buchungen/Monat</t>
        </is>
      </c>
      <c r="B7" s="5" t="n">
        <v>15</v>
      </c>
      <c r="C7" s="5" t="n">
        <v>50</v>
      </c>
      <c r="D7" s="5" t="n">
        <v>85</v>
      </c>
      <c r="E7" s="5" t="n">
        <v>120</v>
      </c>
      <c r="F7" s="5" t="n">
        <v>155</v>
      </c>
      <c r="G7" s="5" t="n">
        <v>190</v>
      </c>
      <c r="H7" s="5" t="n">
        <v>225</v>
      </c>
      <c r="I7" s="5" t="n">
        <v>260</v>
      </c>
      <c r="J7" s="5" t="n">
        <v>295</v>
      </c>
      <c r="K7" s="5" t="n">
        <v>330</v>
      </c>
      <c r="L7" s="5" t="n">
        <v>365</v>
      </c>
      <c r="M7" s="5" t="n">
        <v>400</v>
      </c>
      <c r="N7" s="5" t="n">
        <v>8000</v>
      </c>
      <c r="O7" s="5" t="n">
        <v>40000</v>
      </c>
      <c r="P7" s="5" t="n">
        <v>180000</v>
      </c>
      <c r="Q7" s="5" t="n">
        <v>450000</v>
      </c>
    </row>
    <row r="8">
      <c r="A8" s="4" t="inlineStr">
        <is>
          <t>Ø Buchungswert (€)</t>
        </is>
      </c>
      <c r="B8" s="6" t="n">
        <v>40</v>
      </c>
      <c r="C8" s="6" t="n">
        <v>40</v>
      </c>
      <c r="D8" s="6" t="n">
        <v>40</v>
      </c>
      <c r="E8" s="6" t="n">
        <v>40</v>
      </c>
      <c r="F8" s="6" t="n">
        <v>40</v>
      </c>
      <c r="G8" s="6" t="n">
        <v>40</v>
      </c>
      <c r="H8" s="6" t="n">
        <v>40</v>
      </c>
      <c r="I8" s="6" t="n">
        <v>40</v>
      </c>
      <c r="J8" s="6" t="n">
        <v>40</v>
      </c>
      <c r="K8" s="6" t="n">
        <v>40</v>
      </c>
      <c r="L8" s="6" t="n">
        <v>40</v>
      </c>
      <c r="M8" s="6" t="n">
        <v>40</v>
      </c>
      <c r="N8" s="6" t="n">
        <v>40</v>
      </c>
      <c r="O8" s="6" t="n">
        <v>40</v>
      </c>
      <c r="P8" s="6" t="n">
        <v>40</v>
      </c>
      <c r="Q8" s="6" t="n">
        <v>40</v>
      </c>
    </row>
    <row r="9">
      <c r="A9" s="4" t="inlineStr">
        <is>
          <t>Umsatz Provisionen (18%)</t>
        </is>
      </c>
      <c r="B9" s="6">
        <f>(B7*B8*0.18)</f>
        <v/>
      </c>
      <c r="C9" s="6">
        <f>(C7*C8*0.18)</f>
        <v/>
      </c>
      <c r="D9" s="6">
        <f>(D7*D8*0.18)</f>
        <v/>
      </c>
      <c r="E9" s="6">
        <f>(E7*E8*0.18)</f>
        <v/>
      </c>
      <c r="F9" s="6">
        <f>(F7*F8*0.18)</f>
        <v/>
      </c>
      <c r="G9" s="6">
        <f>(G7*G8*0.18)</f>
        <v/>
      </c>
      <c r="H9" s="6">
        <f>(H7*H8*0.18)</f>
        <v/>
      </c>
      <c r="I9" s="6">
        <f>(I7*I8*0.18)</f>
        <v/>
      </c>
      <c r="J9" s="6">
        <f>(J7*J8*0.18)</f>
        <v/>
      </c>
      <c r="K9" s="6">
        <f>(K7*K8*0.18)</f>
        <v/>
      </c>
      <c r="L9" s="6">
        <f>(L7*L8*0.18)</f>
        <v/>
      </c>
      <c r="M9" s="6">
        <f>(M7*M8*0.18)</f>
        <v/>
      </c>
      <c r="N9" s="6">
        <f>(N7*N8*0.18)</f>
        <v/>
      </c>
      <c r="O9" s="6">
        <f>(O7*O8*0.18)</f>
        <v/>
      </c>
      <c r="P9" s="6">
        <f>(P7*P8*0.18)</f>
        <v/>
      </c>
      <c r="Q9" s="6">
        <f>(Q7*Q8*0.18)</f>
        <v/>
      </c>
    </row>
    <row r="10">
      <c r="A10" s="4" t="inlineStr">
        <is>
          <t>Premium-Abos Engel (€9,99/Monat)</t>
        </is>
      </c>
      <c r="B10" s="6">
        <f>(B6*0.3*9.99)</f>
        <v/>
      </c>
      <c r="C10" s="6">
        <f>(C6*0.3*9.99)</f>
        <v/>
      </c>
      <c r="D10" s="6">
        <f>(D6*0.3*9.99)</f>
        <v/>
      </c>
      <c r="E10" s="6">
        <f>(E6*0.3*9.99)</f>
        <v/>
      </c>
      <c r="F10" s="6">
        <f>(F6*0.3*9.99)</f>
        <v/>
      </c>
      <c r="G10" s="6">
        <f>(G6*0.3*9.99)</f>
        <v/>
      </c>
      <c r="H10" s="6">
        <f>(H6*0.3*9.99)</f>
        <v/>
      </c>
      <c r="I10" s="6">
        <f>(I6*0.3*9.99)</f>
        <v/>
      </c>
      <c r="J10" s="6">
        <f>(J6*0.3*9.99)</f>
        <v/>
      </c>
      <c r="K10" s="6">
        <f>(K6*0.3*9.99)</f>
        <v/>
      </c>
      <c r="L10" s="6">
        <f>(L6*0.3*9.99)</f>
        <v/>
      </c>
      <c r="M10" s="6">
        <f>(M6*0.3*9.99)</f>
        <v/>
      </c>
      <c r="N10" s="6">
        <f>(N6*0.3*9.99)</f>
        <v/>
      </c>
      <c r="O10" s="6">
        <f>(O6*0.3*9.99)</f>
        <v/>
      </c>
      <c r="P10" s="6">
        <f>(P6*0.3*9.99)</f>
        <v/>
      </c>
      <c r="Q10" s="6">
        <f>(Q6*0.3*9.99)</f>
        <v/>
      </c>
    </row>
    <row r="11">
      <c r="A11" s="4" t="inlineStr">
        <is>
          <t>Gesamtumsatz</t>
        </is>
      </c>
      <c r="B11" s="7">
        <f>B9+B10</f>
        <v/>
      </c>
      <c r="C11" s="7">
        <f>C9+C10</f>
        <v/>
      </c>
      <c r="D11" s="7">
        <f>D9+D10</f>
        <v/>
      </c>
      <c r="E11" s="7">
        <f>E9+E10</f>
        <v/>
      </c>
      <c r="F11" s="7">
        <f>F9+F10</f>
        <v/>
      </c>
      <c r="G11" s="7">
        <f>G9+G10</f>
        <v/>
      </c>
      <c r="H11" s="7">
        <f>H9+H10</f>
        <v/>
      </c>
      <c r="I11" s="7">
        <f>I9+I10</f>
        <v/>
      </c>
      <c r="J11" s="7">
        <f>J9+J10</f>
        <v/>
      </c>
      <c r="K11" s="7">
        <f>K9+K10</f>
        <v/>
      </c>
      <c r="L11" s="7">
        <f>L9+L10</f>
        <v/>
      </c>
      <c r="M11" s="7">
        <f>M9+M10</f>
        <v/>
      </c>
      <c r="N11" s="7">
        <f>N9+N10</f>
        <v/>
      </c>
      <c r="O11" s="7">
        <f>O9+O10</f>
        <v/>
      </c>
      <c r="P11" s="7">
        <f>P9+P10</f>
        <v/>
      </c>
      <c r="Q11" s="7">
        <f>Q9+Q10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AlltagsEngel UG - Gewinn- und Verlustrechnung</t>
        </is>
      </c>
    </row>
    <row r="3">
      <c r="A3" s="3" t="inlineStr">
        <is>
          <t>Position</t>
        </is>
      </c>
      <c r="B3" s="3" t="inlineStr">
        <is>
          <t>Jahr 1</t>
        </is>
      </c>
      <c r="C3" s="3" t="inlineStr">
        <is>
          <t>Jahr 2</t>
        </is>
      </c>
      <c r="D3" s="3" t="inlineStr">
        <is>
          <t>Jahr 3</t>
        </is>
      </c>
      <c r="E3" s="3" t="inlineStr">
        <is>
          <t>Jahr 4</t>
        </is>
      </c>
      <c r="F3" s="3" t="inlineStr">
        <is>
          <t>Jahr 5</t>
        </is>
      </c>
    </row>
    <row r="4">
      <c r="A4" s="8" t="inlineStr">
        <is>
          <t>UMSATZ</t>
        </is>
      </c>
    </row>
    <row r="5">
      <c r="A5" s="9" t="inlineStr">
        <is>
          <t>Provisionseinnahmen</t>
        </is>
      </c>
      <c r="B5" s="6">
        <f>SUM(Umsatzprognose!C9:M9)</f>
        <v/>
      </c>
      <c r="C5" s="6">
        <f>Umsatzprognose!O9</f>
        <v/>
      </c>
      <c r="D5" s="6">
        <f>Umsatzprognose!P9</f>
        <v/>
      </c>
      <c r="E5" s="6">
        <f>Umsatzprognose!Q9</f>
        <v/>
      </c>
      <c r="F5" s="6">
        <f>Umsatzprognose!R9</f>
        <v/>
      </c>
    </row>
    <row r="6">
      <c r="A6" s="9" t="inlineStr">
        <is>
          <t>Premium-Abonnements</t>
        </is>
      </c>
      <c r="B6" s="6">
        <f>SUM(Umsatzprognose!C10:M10)</f>
        <v/>
      </c>
      <c r="C6" s="6">
        <f>Umsatzprognose!O10</f>
        <v/>
      </c>
      <c r="D6" s="6">
        <f>Umsatzprognose!P10</f>
        <v/>
      </c>
      <c r="E6" s="6">
        <f>Umsatzprognose!Q10</f>
        <v/>
      </c>
      <c r="F6" s="6">
        <f>Umsatzprognose!R10</f>
        <v/>
      </c>
    </row>
    <row r="7">
      <c r="A7" s="10" t="inlineStr">
        <is>
          <t>Gesamtumsatz</t>
        </is>
      </c>
      <c r="B7" s="6">
        <f>B5+B6</f>
        <v/>
      </c>
      <c r="C7" s="6">
        <f>C5+C6</f>
        <v/>
      </c>
      <c r="D7" s="6">
        <f>D5+D6</f>
        <v/>
      </c>
      <c r="E7" s="6">
        <f>E5+E6</f>
        <v/>
      </c>
      <c r="F7" s="6">
        <f>F5+F6</f>
        <v/>
      </c>
    </row>
    <row r="8">
      <c r="A8" s="9" t="n"/>
      <c r="B8" s="6" t="n"/>
      <c r="C8" s="6" t="n"/>
      <c r="D8" s="6" t="n"/>
      <c r="E8" s="6" t="n"/>
      <c r="F8" s="6" t="n"/>
    </row>
    <row r="9">
      <c r="A9" s="8" t="inlineStr">
        <is>
          <t>KOSTEN</t>
        </is>
      </c>
      <c r="B9" s="6" t="n"/>
      <c r="C9" s="6" t="n"/>
      <c r="D9" s="6" t="n"/>
      <c r="E9" s="6" t="n"/>
      <c r="F9" s="6" t="n"/>
    </row>
    <row r="10">
      <c r="A10" s="9" t="inlineStr">
        <is>
          <t>Personalkosten (Brutto)</t>
        </is>
      </c>
      <c r="B10" s="6" t="n">
        <v>374400</v>
      </c>
      <c r="C10" s="6">
        <f>B10*1.20</f>
        <v/>
      </c>
      <c r="D10" s="6">
        <f>C10*1.20</f>
        <v/>
      </c>
      <c r="E10" s="6">
        <f>D10*1.20</f>
        <v/>
      </c>
      <c r="F10" s="6">
        <f>E10*1.20</f>
        <v/>
      </c>
    </row>
    <row r="11">
      <c r="A11" s="9" t="inlineStr">
        <is>
          <t>Büromiete</t>
        </is>
      </c>
      <c r="B11" s="6" t="n">
        <v>7200</v>
      </c>
      <c r="C11" s="6">
        <f>B11*1.10</f>
        <v/>
      </c>
      <c r="D11" s="6">
        <f>C11*1.10</f>
        <v/>
      </c>
      <c r="E11" s="6">
        <f>D11*1.10</f>
        <v/>
      </c>
      <c r="F11" s="6">
        <f>E11*1.10</f>
        <v/>
      </c>
    </row>
    <row r="12">
      <c r="A12" s="9" t="inlineStr">
        <is>
          <t>Fahrzeugkosten</t>
        </is>
      </c>
      <c r="B12" s="6" t="n">
        <v>12000</v>
      </c>
      <c r="C12" s="6">
        <f>B12</f>
        <v/>
      </c>
      <c r="D12" s="6">
        <f>C12</f>
        <v/>
      </c>
      <c r="E12" s="6">
        <f>D12</f>
        <v/>
      </c>
      <c r="F12" s="6">
        <f>E12</f>
        <v/>
      </c>
    </row>
    <row r="13">
      <c r="A13" s="9" t="inlineStr">
        <is>
          <t>Software &amp; Infrastruktur</t>
        </is>
      </c>
      <c r="B13" s="6" t="n">
        <v>2400</v>
      </c>
      <c r="C13" s="6">
        <f>B13*1.15</f>
        <v/>
      </c>
      <c r="D13" s="6">
        <f>C13*1.15</f>
        <v/>
      </c>
      <c r="E13" s="6">
        <f>D13*1.15</f>
        <v/>
      </c>
      <c r="F13" s="6">
        <f>E13*1.15</f>
        <v/>
      </c>
    </row>
    <row r="14">
      <c r="A14" s="9" t="inlineStr">
        <is>
          <t>Marketing &amp; Werbung</t>
        </is>
      </c>
      <c r="B14" s="6" t="n">
        <v>10200</v>
      </c>
      <c r="C14" s="6">
        <f>B14*1.50</f>
        <v/>
      </c>
      <c r="D14" s="6">
        <f>C14*1.50</f>
        <v/>
      </c>
      <c r="E14" s="6">
        <f>D14*1.50</f>
        <v/>
      </c>
      <c r="F14" s="6">
        <f>E14*1.50</f>
        <v/>
      </c>
    </row>
    <row r="15">
      <c r="A15" s="9" t="inlineStr">
        <is>
          <t>Versicherungen</t>
        </is>
      </c>
      <c r="B15" s="6" t="n">
        <v>3600</v>
      </c>
      <c r="C15" s="6">
        <f>B15*1.25</f>
        <v/>
      </c>
      <c r="D15" s="6">
        <f>C15*1.25</f>
        <v/>
      </c>
      <c r="E15" s="6">
        <f>D15*1.25</f>
        <v/>
      </c>
      <c r="F15" s="6">
        <f>E15*1.25</f>
        <v/>
      </c>
    </row>
    <row r="16">
      <c r="A16" s="9" t="inlineStr">
        <is>
          <t>Steuerberater</t>
        </is>
      </c>
      <c r="B16" s="6" t="n">
        <v>4800</v>
      </c>
      <c r="C16" s="6">
        <f>B16</f>
        <v/>
      </c>
      <c r="D16" s="6">
        <f>C16</f>
        <v/>
      </c>
      <c r="E16" s="6">
        <f>D16</f>
        <v/>
      </c>
      <c r="F16" s="6">
        <f>E16</f>
        <v/>
      </c>
    </row>
    <row r="17">
      <c r="A17" s="9" t="inlineStr">
        <is>
          <t>Sonstige Betriebskosten</t>
        </is>
      </c>
      <c r="B17" s="6" t="n">
        <v>3000</v>
      </c>
      <c r="C17" s="6">
        <f>B17*1.10</f>
        <v/>
      </c>
      <c r="D17" s="6">
        <f>C17*1.10</f>
        <v/>
      </c>
      <c r="E17" s="6">
        <f>D17*1.10</f>
        <v/>
      </c>
      <c r="F17" s="6">
        <f>E17*1.10</f>
        <v/>
      </c>
    </row>
    <row r="18">
      <c r="A18" s="10" t="inlineStr">
        <is>
          <t>Gesamtkosten</t>
        </is>
      </c>
      <c r="B18" s="6">
        <f>SUM(B10:B17)</f>
        <v/>
      </c>
      <c r="C18" s="6">
        <f>SUM(C10:C17)</f>
        <v/>
      </c>
      <c r="D18" s="6">
        <f>SUM(D10:D17)</f>
        <v/>
      </c>
      <c r="E18" s="6">
        <f>SUM(E10:E17)</f>
        <v/>
      </c>
      <c r="F18" s="6">
        <f>SUM(F10:F17)</f>
        <v/>
      </c>
    </row>
    <row r="19">
      <c r="A19" s="9" t="n"/>
      <c r="B19" s="6" t="n"/>
      <c r="C19" s="6" t="n"/>
      <c r="D19" s="6" t="n"/>
      <c r="E19" s="6" t="n"/>
      <c r="F19" s="6" t="n"/>
    </row>
    <row r="20">
      <c r="A20" s="8" t="inlineStr">
        <is>
          <t>ERGEBNIS</t>
        </is>
      </c>
      <c r="B20" s="6" t="n"/>
      <c r="C20" s="6" t="n"/>
      <c r="D20" s="6" t="n"/>
      <c r="E20" s="6" t="n"/>
      <c r="F20" s="6" t="n"/>
    </row>
    <row r="21">
      <c r="A21" s="10" t="inlineStr">
        <is>
          <t>EBITDA</t>
        </is>
      </c>
      <c r="B21" s="6">
        <f>B7-B18</f>
        <v/>
      </c>
      <c r="C21" s="6">
        <f>C7-C18</f>
        <v/>
      </c>
      <c r="D21" s="6">
        <f>D7-D18</f>
        <v/>
      </c>
      <c r="E21" s="6">
        <f>E7-E18</f>
        <v/>
      </c>
      <c r="F21" s="6">
        <f>F7-F18</f>
        <v/>
      </c>
    </row>
    <row r="22">
      <c r="A22" s="9" t="inlineStr">
        <is>
          <t>EBITDA-Marge (%)</t>
        </is>
      </c>
      <c r="B22" s="11">
        <f>B21/B7</f>
        <v/>
      </c>
      <c r="C22" s="11">
        <f>C21/C7</f>
        <v/>
      </c>
      <c r="D22" s="11">
        <f>D21/D7</f>
        <v/>
      </c>
      <c r="E22" s="11">
        <f>E21/E7</f>
        <v/>
      </c>
      <c r="F22" s="11">
        <f>F21/F7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</cols>
  <sheetData>
    <row r="1">
      <c r="A1" s="1" t="inlineStr">
        <is>
          <t>AlltagsEngel UG - Key Metrics Dashboard</t>
        </is>
      </c>
    </row>
    <row r="3">
      <c r="A3" s="12" t="inlineStr">
        <is>
          <t>Metrik</t>
        </is>
      </c>
      <c r="B3" s="12" t="inlineStr">
        <is>
          <t>Wert</t>
        </is>
      </c>
      <c r="C3" s="12" t="inlineStr">
        <is>
          <t>Einheit</t>
        </is>
      </c>
    </row>
    <row r="4">
      <c r="A4" s="13" t="inlineStr">
        <is>
          <t>Monatliche Burn-Rate (Jahr 1)</t>
        </is>
      </c>
      <c r="B4" s="14">
        <f>Gewinn-und-Verlust!B18/12</f>
        <v/>
      </c>
      <c r="C4" s="9" t="inlineStr">
        <is>
          <t>€</t>
        </is>
      </c>
    </row>
    <row r="5">
      <c r="A5" s="13" t="inlineStr">
        <is>
          <t>Runway bei €500K Seed</t>
        </is>
      </c>
      <c r="B5" s="15">
        <f>500000/B4</f>
        <v/>
      </c>
      <c r="C5" s="9" t="inlineStr">
        <is>
          <t>Monate</t>
        </is>
      </c>
    </row>
    <row r="6">
      <c r="A6" s="13" t="inlineStr">
        <is>
          <t>Break-Even Buchungen/Monat</t>
        </is>
      </c>
      <c r="B6" s="15">
        <f>(Gewinn-und-Verlust!B18)/40/0.18</f>
        <v/>
      </c>
      <c r="C6" s="9" t="inlineStr">
        <is>
          <t>Buchungen</t>
        </is>
      </c>
    </row>
    <row r="7">
      <c r="A7" s="13" t="inlineStr">
        <is>
          <t>CAC (Customer Acquisition Cost)</t>
        </is>
      </c>
      <c r="B7" s="14" t="inlineStr">
        <is>
          <t>20</t>
        </is>
      </c>
      <c r="C7" s="9" t="inlineStr">
        <is>
          <t>€</t>
        </is>
      </c>
    </row>
    <row r="8">
      <c r="A8" s="13" t="inlineStr">
        <is>
          <t>LTV (Lifetime Value)</t>
        </is>
      </c>
      <c r="B8" s="14" t="inlineStr">
        <is>
          <t>500</t>
        </is>
      </c>
      <c r="C8" s="9" t="inlineStr">
        <is>
          <t>€</t>
        </is>
      </c>
    </row>
    <row r="9">
      <c r="A9" s="13" t="inlineStr">
        <is>
          <t>LTV/CAC Ratio</t>
        </is>
      </c>
      <c r="B9" s="15">
        <f>B7/B6</f>
        <v/>
      </c>
      <c r="C9" s="9" t="inlineStr">
        <is>
          <t>Faktor</t>
        </is>
      </c>
    </row>
    <row r="10">
      <c r="A10" s="13" t="inlineStr">
        <is>
          <t>Payback Period</t>
        </is>
      </c>
      <c r="B10" s="15">
        <f>(B6)/(Gewinn-und-Verlust!B5/12)</f>
        <v/>
      </c>
      <c r="C10" s="9" t="inlineStr">
        <is>
          <t>Monate</t>
        </is>
      </c>
    </row>
    <row r="11">
      <c r="A11" s="13" t="inlineStr">
        <is>
          <t>Monthly Recurring Revenue (MRR) Y1</t>
        </is>
      </c>
      <c r="B11" s="14">
        <f>SUM(Umsatzprognose!C11:M11)/12</f>
        <v/>
      </c>
      <c r="C11" s="9" t="inlineStr">
        <is>
          <t>€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2026-03-02T00:52:50Z</dcterms:created>
  <dcterms:modified xmlns:dcterms="http://purl.org/dc/terms/" xmlns:xsi="http://www.w3.org/2001/XMLSchema-instance" xsi:type="dcterms:W3CDTF">2026-03-02T00:52:50Z</dcterms:modified>
</cp:coreProperties>
</file>