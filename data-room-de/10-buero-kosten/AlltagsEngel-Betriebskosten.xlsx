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kosten" sheetId="1" state="visible" r:id="rId1"/>
    <sheet xmlns:r="http://schemas.openxmlformats.org/officeDocument/2006/relationships" name="Betriebskosten" sheetId="2" state="visible" r:id="rId2"/>
    <sheet xmlns:r="http://schemas.openxmlformats.org/officeDocument/2006/relationships" name="Gesamtübersich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 #,##0.0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9963C"/>
        <bgColor rgb="00C996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6" customWidth="1" min="3" max="3"/>
    <col width="22" customWidth="1" min="4" max="4"/>
    <col width="22" customWidth="1" min="5" max="5"/>
  </cols>
  <sheetData>
    <row r="1">
      <c r="A1" s="1" t="inlineStr">
        <is>
          <t>Mitarbeiter</t>
        </is>
      </c>
      <c r="B1" s="1" t="inlineStr">
        <is>
          <t>Rolle</t>
        </is>
      </c>
      <c r="C1" s="1" t="inlineStr">
        <is>
          <t>Netto/Monat</t>
        </is>
      </c>
      <c r="D1" s="1" t="inlineStr">
        <is>
          <t>Brutto/Monat (geschätzt)</t>
        </is>
      </c>
      <c r="E1" s="1" t="inlineStr">
        <is>
          <t>Jahreskosten Brutto</t>
        </is>
      </c>
    </row>
    <row r="2">
      <c r="A2" s="2" t="inlineStr">
        <is>
          <t>Yusuf Ferhat Demir</t>
        </is>
      </c>
      <c r="B2" s="2" t="inlineStr">
        <is>
          <t>Geschäftsführer</t>
        </is>
      </c>
      <c r="C2" s="3" t="n">
        <v>8000</v>
      </c>
      <c r="D2" s="3" t="n">
        <v>12000</v>
      </c>
      <c r="E2" s="3">
        <f>D2*12</f>
        <v/>
      </c>
    </row>
    <row r="3">
      <c r="A3" s="2" t="inlineStr">
        <is>
          <t>Laura Leeman</t>
        </is>
      </c>
      <c r="B3" s="2" t="inlineStr">
        <is>
          <t>Teamleiterin/Alltagsbegleiterin</t>
        </is>
      </c>
      <c r="C3" s="3" t="n">
        <v>3000</v>
      </c>
      <c r="D3" s="3" t="n">
        <v>4800</v>
      </c>
      <c r="E3" s="3">
        <f>D3*12</f>
        <v/>
      </c>
    </row>
    <row r="4">
      <c r="A4" s="2" t="inlineStr">
        <is>
          <t>Mehmet Yilmaz</t>
        </is>
      </c>
      <c r="B4" s="2" t="inlineStr">
        <is>
          <t>CTO / Technischer Leiter</t>
        </is>
      </c>
      <c r="C4" s="3" t="n">
        <v>3000</v>
      </c>
      <c r="D4" s="3" t="n">
        <v>4800</v>
      </c>
      <c r="E4" s="3">
        <f>D4*12</f>
        <v/>
      </c>
    </row>
    <row r="5">
      <c r="A5" s="2" t="inlineStr">
        <is>
          <t>Sophie Weber</t>
        </is>
      </c>
      <c r="B5" s="2" t="inlineStr">
        <is>
          <t>Marketing &amp; Kommunikation</t>
        </is>
      </c>
      <c r="C5" s="3" t="n">
        <v>3000</v>
      </c>
      <c r="D5" s="3" t="n">
        <v>4800</v>
      </c>
      <c r="E5" s="3">
        <f>D5*12</f>
        <v/>
      </c>
    </row>
    <row r="6">
      <c r="A6" s="2" t="inlineStr">
        <is>
          <t>Anna Hoffmann</t>
        </is>
      </c>
      <c r="B6" s="2" t="inlineStr">
        <is>
          <t>Assistenz &amp; Kundenbetreuung</t>
        </is>
      </c>
      <c r="C6" s="3" t="n">
        <v>3000</v>
      </c>
      <c r="D6" s="3" t="n">
        <v>4800</v>
      </c>
      <c r="E6" s="3">
        <f>D6*12</f>
        <v/>
      </c>
    </row>
    <row r="7">
      <c r="A7" s="4" t="inlineStr">
        <is>
          <t>GESAMT</t>
        </is>
      </c>
      <c r="B7" s="4" t="inlineStr"/>
      <c r="C7" s="5">
        <f>SUM(C2:C6)</f>
        <v/>
      </c>
      <c r="D7" s="5">
        <f>SUM(D2:D6)</f>
        <v/>
      </c>
      <c r="E7" s="5">
        <f>SUM(E2:E6)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35" customWidth="1" min="4" max="4"/>
  </cols>
  <sheetData>
    <row r="1">
      <c r="A1" s="1" t="inlineStr">
        <is>
          <t>Kostenposition</t>
        </is>
      </c>
      <c r="B1" s="1" t="inlineStr">
        <is>
          <t>Monatlich (€)</t>
        </is>
      </c>
      <c r="C1" s="1" t="inlineStr">
        <is>
          <t>Jährlich (€)</t>
        </is>
      </c>
      <c r="D1" s="1" t="inlineStr">
        <is>
          <t>Anmerkungen</t>
        </is>
      </c>
    </row>
    <row r="2">
      <c r="A2" s="2" t="inlineStr">
        <is>
          <t>Büromiete (Schiller Str. 31, Frankfurt)</t>
        </is>
      </c>
      <c r="B2" s="3" t="n">
        <v>600</v>
      </c>
      <c r="C2" s="3">
        <f>B2*12</f>
        <v/>
      </c>
      <c r="D2" s="2" t="inlineStr">
        <is>
          <t>Kaltmiete, 60313 Frankfurt</t>
        </is>
      </c>
    </row>
    <row r="3">
      <c r="A3" s="2" t="inlineStr">
        <is>
          <t>Nebenkosten (Strom, Internet, etc.)</t>
        </is>
      </c>
      <c r="B3" s="3" t="n">
        <v>150</v>
      </c>
      <c r="C3" s="3">
        <f>B3*12</f>
        <v/>
      </c>
      <c r="D3" s="2" t="inlineStr">
        <is>
          <t>Geschätzt</t>
        </is>
      </c>
    </row>
    <row r="4">
      <c r="A4" s="2" t="inlineStr">
        <is>
          <t>Fahrzeugkosten (Leasing + Versicherung)</t>
        </is>
      </c>
      <c r="B4" s="3" t="n">
        <v>1000</v>
      </c>
      <c r="C4" s="3">
        <f>B4*12</f>
        <v/>
      </c>
      <c r="D4" s="2" t="inlineStr">
        <is>
          <t>1 Firmenfahrzeug</t>
        </is>
      </c>
    </row>
    <row r="5">
      <c r="A5" s="2" t="inlineStr">
        <is>
          <t>Software &amp; Tools (Supabase, Expo, etc.)</t>
        </is>
      </c>
      <c r="B5" s="3" t="n">
        <v>200</v>
      </c>
      <c r="C5" s="3">
        <f>B5*12</f>
        <v/>
      </c>
      <c r="D5" s="2" t="inlineStr">
        <is>
          <t>Cloud-Infrastruktur</t>
        </is>
      </c>
    </row>
    <row r="6">
      <c r="A6" s="2" t="inlineStr">
        <is>
          <t>Versicherungen (Betriebshaftpflicht)</t>
        </is>
      </c>
      <c r="B6" s="3" t="n">
        <v>300</v>
      </c>
      <c r="C6" s="3">
        <f>B6*12</f>
        <v/>
      </c>
      <c r="D6" s="2" t="inlineStr">
        <is>
          <t>Inkl. Engel-Versicherung</t>
        </is>
      </c>
    </row>
    <row r="7">
      <c r="A7" s="2" t="inlineStr">
        <is>
          <t>Marketing &amp; Werbung</t>
        </is>
      </c>
      <c r="B7" s="3" t="n">
        <v>500</v>
      </c>
      <c r="C7" s="3">
        <f>B7*12</f>
        <v/>
      </c>
      <c r="D7" s="2" t="inlineStr">
        <is>
          <t>Social Media, Google Ads</t>
        </is>
      </c>
    </row>
    <row r="8">
      <c r="A8" s="2" t="inlineStr">
        <is>
          <t>Büromaterial &amp; Ausstattung</t>
        </is>
      </c>
      <c r="B8" s="3" t="n">
        <v>100</v>
      </c>
      <c r="C8" s="3">
        <f>B8*12</f>
        <v/>
      </c>
      <c r="D8" s="2" t="inlineStr">
        <is>
          <t>Verbrauchsmaterial</t>
        </is>
      </c>
    </row>
    <row r="9">
      <c r="A9" s="2" t="inlineStr">
        <is>
          <t>Telefon &amp; Kommunikation</t>
        </is>
      </c>
      <c r="B9" s="3" t="n">
        <v>80</v>
      </c>
      <c r="C9" s="3">
        <f>B9*12</f>
        <v/>
      </c>
      <c r="D9" s="2" t="inlineStr">
        <is>
          <t>Mobilfunk + Festnetz</t>
        </is>
      </c>
    </row>
    <row r="10">
      <c r="A10" s="2" t="inlineStr">
        <is>
          <t>Steuerberater &amp; Buchhaltung</t>
        </is>
      </c>
      <c r="B10" s="3" t="n">
        <v>400</v>
      </c>
      <c r="C10" s="3">
        <f>B10*12</f>
        <v/>
      </c>
      <c r="D10" s="2" t="inlineStr">
        <is>
          <t>Monatliche Buchführung</t>
        </is>
      </c>
    </row>
    <row r="11">
      <c r="A11" s="2" t="inlineStr">
        <is>
          <t>Sonstige Kosten</t>
        </is>
      </c>
      <c r="B11" s="3" t="n">
        <v>200</v>
      </c>
      <c r="C11" s="3">
        <f>B11*12</f>
        <v/>
      </c>
      <c r="D11" s="2" t="inlineStr">
        <is>
          <t>Reisekosten, Bewirtung</t>
        </is>
      </c>
    </row>
    <row r="12">
      <c r="A12" s="4" t="inlineStr">
        <is>
          <t>GESAMT Betriebskosten</t>
        </is>
      </c>
      <c r="B12" s="5">
        <f>SUM(B2:B11)</f>
        <v/>
      </c>
      <c r="C12" s="5">
        <f>SUM(C2:C11)</f>
        <v/>
      </c>
      <c r="D1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35" customWidth="1" min="4" max="4"/>
  </cols>
  <sheetData>
    <row r="1">
      <c r="A1" s="1" t="inlineStr">
        <is>
          <t>Kategorie</t>
        </is>
      </c>
      <c r="B1" s="1" t="inlineStr">
        <is>
          <t>Monatlich (€)</t>
        </is>
      </c>
      <c r="C1" s="1" t="inlineStr">
        <is>
          <t>Jährlich (€)</t>
        </is>
      </c>
      <c r="D1" s="1" t="inlineStr">
        <is>
          <t>Anteil (%)</t>
        </is>
      </c>
    </row>
    <row r="2">
      <c r="A2" s="2" t="inlineStr">
        <is>
          <t>Personalkosten (Brutto)</t>
        </is>
      </c>
      <c r="B2" s="3">
        <f>Personalkosten!D7</f>
        <v/>
      </c>
      <c r="C2" s="3">
        <f>Personalkosten!E7</f>
        <v/>
      </c>
      <c r="D2" s="6">
        <f>B2/B4</f>
        <v/>
      </c>
    </row>
    <row r="3">
      <c r="A3" s="2" t="inlineStr">
        <is>
          <t>Betriebskosten</t>
        </is>
      </c>
      <c r="B3" s="3">
        <f>Betriebskosten!B12</f>
        <v/>
      </c>
      <c r="C3" s="3">
        <f>Betriebskosten!C12</f>
        <v/>
      </c>
      <c r="D3" s="6">
        <f>B3/B4</f>
        <v/>
      </c>
    </row>
    <row r="4">
      <c r="A4" s="4" t="inlineStr">
        <is>
          <t>GESAMTKOSTEN</t>
        </is>
      </c>
      <c r="B4" s="5">
        <f>SUM(B2:B3)</f>
        <v/>
      </c>
      <c r="C4" s="5">
        <f>SUM(C2:C3)</f>
        <v/>
      </c>
      <c r="D4" s="4" t="inlineStr">
        <is>
          <t>100%</t>
        </is>
      </c>
    </row>
    <row r="5">
      <c r="A5" s="4" t="inlineStr"/>
      <c r="B5" s="4" t="inlineStr"/>
      <c r="C5" s="4" t="inlineStr"/>
      <c r="D5" s="4" t="inlineStr"/>
    </row>
    <row r="6">
      <c r="A6" s="2" t="inlineStr">
        <is>
          <t>Break-Even Analyse:</t>
        </is>
      </c>
      <c r="B6" s="2" t="inlineStr"/>
      <c r="C6" s="2" t="inlineStr"/>
      <c r="D6" s="2" t="inlineStr"/>
    </row>
    <row r="7">
      <c r="A7" s="2" t="inlineStr">
        <is>
          <t>Durchschnittliche Buchung (€)</t>
        </is>
      </c>
      <c r="B7" s="3" t="n">
        <v>40</v>
      </c>
      <c r="C7" s="2" t="inlineStr"/>
      <c r="D7" s="2" t="inlineStr"/>
    </row>
    <row r="8">
      <c r="A8" s="2" t="inlineStr">
        <is>
          <t>Provision (18%)</t>
        </is>
      </c>
      <c r="B8" s="3">
        <f>B7*0.18</f>
        <v/>
      </c>
      <c r="C8" s="2" t="inlineStr"/>
      <c r="D8" s="2" t="inlineStr"/>
    </row>
    <row r="9">
      <c r="A9" s="2" t="inlineStr">
        <is>
          <t>Benötigte Buchungen/Monat</t>
        </is>
      </c>
      <c r="B9" s="3">
        <f>B4/B8</f>
        <v/>
      </c>
      <c r="C9" s="2" t="inlineStr"/>
      <c r="D9" s="2" t="inlineStr">
        <is>
          <t>Break-Even</t>
        </is>
      </c>
    </row>
    <row r="10">
      <c r="A10" s="2" t="inlineStr">
        <is>
          <t>Benötigte Buchungen/Tag</t>
        </is>
      </c>
      <c r="B10" s="3">
        <f>B9/30</f>
        <v/>
      </c>
      <c r="C10" s="2" t="inlineStr"/>
      <c r="D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2026-03-02T00:46:45Z</dcterms:created>
  <dcterms:modified xmlns:dcterms="http://purl.org/dc/terms/" xmlns:xsi="http://www.w3.org/2001/XMLSchema-instance" xsi:type="dcterms:W3CDTF">2026-03-02T00:46:45Z</dcterms:modified>
</cp:coreProperties>
</file>